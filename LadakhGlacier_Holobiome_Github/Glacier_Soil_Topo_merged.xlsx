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am\Documents\PhD\Proj\Ladakh_2022\Glacier Transects\"/>
    </mc:Choice>
  </mc:AlternateContent>
  <xr:revisionPtr revIDLastSave="0" documentId="13_ncr:1_{9B195F94-52F1-40B4-8EAE-D91512B597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3" i="1" l="1"/>
  <c r="CR4" i="1"/>
  <c r="CR5" i="1"/>
  <c r="CR6" i="1"/>
  <c r="CR7" i="1"/>
  <c r="CR8" i="1"/>
  <c r="CR9" i="1"/>
  <c r="CR10" i="1"/>
  <c r="CR11" i="1"/>
  <c r="CR12" i="1"/>
  <c r="CR13" i="1"/>
  <c r="CR14" i="1"/>
  <c r="CR15" i="1"/>
  <c r="CR16" i="1"/>
  <c r="CT16" i="1" s="1"/>
  <c r="CR17" i="1"/>
  <c r="CT17" i="1" s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T32" i="1" s="1"/>
  <c r="CR33" i="1"/>
  <c r="CR34" i="1"/>
  <c r="CR35" i="1"/>
  <c r="CT35" i="1" s="1"/>
  <c r="CR36" i="1"/>
  <c r="CT36" i="1" s="1"/>
  <c r="CR37" i="1"/>
  <c r="CR2" i="1"/>
  <c r="CT2" i="1" s="1"/>
  <c r="CH4" i="1"/>
  <c r="CT4" i="1" s="1"/>
  <c r="CH5" i="1"/>
  <c r="CH6" i="1"/>
  <c r="CH7" i="1"/>
  <c r="CH8" i="1"/>
  <c r="CH9" i="1"/>
  <c r="CH10" i="1"/>
  <c r="CH11" i="1"/>
  <c r="CH12" i="1"/>
  <c r="CH13" i="1"/>
  <c r="CT13" i="1" s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2" i="1"/>
  <c r="CH3" i="1"/>
  <c r="CG37" i="1"/>
  <c r="CG3" i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  <c r="CT30" i="1" l="1"/>
  <c r="CT22" i="1"/>
  <c r="CT37" i="1"/>
  <c r="CT12" i="1"/>
  <c r="CT11" i="1"/>
  <c r="CT9" i="1"/>
  <c r="CT3" i="1"/>
  <c r="CT26" i="1"/>
  <c r="CT18" i="1"/>
  <c r="CT10" i="1"/>
  <c r="CT33" i="1"/>
  <c r="CT31" i="1"/>
  <c r="CT15" i="1"/>
</calcChain>
</file>

<file path=xl/sharedStrings.xml><?xml version="1.0" encoding="utf-8"?>
<sst xmlns="http://schemas.openxmlformats.org/spreadsheetml/2006/main" count="256" uniqueCount="174">
  <si>
    <t>Plot</t>
  </si>
  <si>
    <t>date</t>
  </si>
  <si>
    <t>DW</t>
  </si>
  <si>
    <t>pH</t>
  </si>
  <si>
    <t>OM%</t>
  </si>
  <si>
    <t>texture_&gt;2mm</t>
  </si>
  <si>
    <t>TN_mg_kg</t>
  </si>
  <si>
    <t>TN_%</t>
  </si>
  <si>
    <t>TP_mg_kg</t>
  </si>
  <si>
    <t>TP_%</t>
  </si>
  <si>
    <t>Na_mg_g</t>
  </si>
  <si>
    <t>Mg_mg_g</t>
  </si>
  <si>
    <t>K_mg_g</t>
  </si>
  <si>
    <t>Ca_mg_g</t>
  </si>
  <si>
    <t>Lat</t>
  </si>
  <si>
    <t>Long</t>
  </si>
  <si>
    <t>Elevation</t>
  </si>
  <si>
    <t>DistanceFromGlacier</t>
  </si>
  <si>
    <t>Aspect</t>
  </si>
  <si>
    <t>Slope</t>
  </si>
  <si>
    <t>TPI</t>
  </si>
  <si>
    <t>Max_molecu</t>
  </si>
  <si>
    <t>Arenaria_b</t>
  </si>
  <si>
    <t>Aster_flac</t>
  </si>
  <si>
    <t>Astragalus</t>
  </si>
  <si>
    <t>Bistorta_v</t>
  </si>
  <si>
    <t>Carex_bori</t>
  </si>
  <si>
    <t>Carex_niva</t>
  </si>
  <si>
    <t>Carex_saga</t>
  </si>
  <si>
    <t>Dasiphora_</t>
  </si>
  <si>
    <t>Desideria_</t>
  </si>
  <si>
    <t>Draba_alta</t>
  </si>
  <si>
    <t>Draba_lasi</t>
  </si>
  <si>
    <t>Draba_orea</t>
  </si>
  <si>
    <t>Elymus_jac</t>
  </si>
  <si>
    <t>Festuca_co</t>
  </si>
  <si>
    <t>Gentianell</t>
  </si>
  <si>
    <t>Kobresia_p</t>
  </si>
  <si>
    <t>Kobresia_s</t>
  </si>
  <si>
    <t>Leontipodi</t>
  </si>
  <si>
    <t>Lloydia_se</t>
  </si>
  <si>
    <t>Lloydia__1</t>
  </si>
  <si>
    <t>Nepeta_lon</t>
  </si>
  <si>
    <t>Oxytropis_</t>
  </si>
  <si>
    <t>Oxytropi_1</t>
  </si>
  <si>
    <t>Pegaeophyt</t>
  </si>
  <si>
    <t>Poa_attenu</t>
  </si>
  <si>
    <t>Potentilla</t>
  </si>
  <si>
    <t>Potentil_1</t>
  </si>
  <si>
    <t>Potentil_2</t>
  </si>
  <si>
    <t>Richteria_</t>
  </si>
  <si>
    <t>Saussarea_</t>
  </si>
  <si>
    <t>Saussare_1</t>
  </si>
  <si>
    <t>Saussare_2</t>
  </si>
  <si>
    <t>Saxifraga_</t>
  </si>
  <si>
    <t>Saxifrag_1</t>
  </si>
  <si>
    <t>Saxifrag_2</t>
  </si>
  <si>
    <t>Saxifrag_3</t>
  </si>
  <si>
    <t>Sibbaldia_</t>
  </si>
  <si>
    <t>Silene_gon</t>
  </si>
  <si>
    <t>Stellaria_</t>
  </si>
  <si>
    <t>Taracetum_</t>
  </si>
  <si>
    <t>Taraxacum_</t>
  </si>
  <si>
    <t>Thalictrum</t>
  </si>
  <si>
    <t>Trisetum_s</t>
  </si>
  <si>
    <t>Urtica_hyp</t>
  </si>
  <si>
    <t>Waldhemia_</t>
  </si>
  <si>
    <t>Waldhemi_1</t>
  </si>
  <si>
    <t>Thylacospe</t>
  </si>
  <si>
    <t>Moss_cover</t>
  </si>
  <si>
    <t>Lichen</t>
  </si>
  <si>
    <t>Grey_liche</t>
  </si>
  <si>
    <t>Yellow_lic</t>
  </si>
  <si>
    <t>Green_lich</t>
  </si>
  <si>
    <t>Orange_lic</t>
  </si>
  <si>
    <t>Black_lich</t>
  </si>
  <si>
    <t>White_lich</t>
  </si>
  <si>
    <t>Stones</t>
  </si>
  <si>
    <t>NUB1-A-1</t>
  </si>
  <si>
    <t>Nubra</t>
  </si>
  <si>
    <t>A</t>
  </si>
  <si>
    <t>NUB1-A-2</t>
  </si>
  <si>
    <t>NUB1-A-3</t>
  </si>
  <si>
    <t>NUB1-B-1</t>
  </si>
  <si>
    <t>B</t>
  </si>
  <si>
    <t>NUB1-B-2</t>
  </si>
  <si>
    <t>NUB1-B-3</t>
  </si>
  <si>
    <t>NUB1-C-1</t>
  </si>
  <si>
    <t>C</t>
  </si>
  <si>
    <t>NUB1-C-2</t>
  </si>
  <si>
    <t>NUB1-C-3</t>
  </si>
  <si>
    <t>NUB2-A-1</t>
  </si>
  <si>
    <t>NUB2-A-2</t>
  </si>
  <si>
    <t>NUB2-A-3</t>
  </si>
  <si>
    <t>NUB2-B-1</t>
  </si>
  <si>
    <t>NUB2-B-2</t>
  </si>
  <si>
    <t>NUB2-B-3</t>
  </si>
  <si>
    <t>NUB2-C-1</t>
  </si>
  <si>
    <t>NUB2-C-2</t>
  </si>
  <si>
    <t>NUB2-C-3</t>
  </si>
  <si>
    <t>NUB3-A-1</t>
  </si>
  <si>
    <t>NUB3-A-2</t>
  </si>
  <si>
    <t>NUB3-A-3</t>
  </si>
  <si>
    <t>NUB3-B-1</t>
  </si>
  <si>
    <t>NUB3-B-2</t>
  </si>
  <si>
    <t>NUB3-B-3</t>
  </si>
  <si>
    <t>NUB3-C-1</t>
  </si>
  <si>
    <t>NUB3-C-2</t>
  </si>
  <si>
    <t>NUB3-C-3</t>
  </si>
  <si>
    <t>TS-A-1</t>
  </si>
  <si>
    <t>Tsomoriri</t>
  </si>
  <si>
    <t>TS-A-2</t>
  </si>
  <si>
    <t>TS-A-3</t>
  </si>
  <si>
    <t>TS-B-1</t>
  </si>
  <si>
    <t>TS-B-2</t>
  </si>
  <si>
    <t>TS-B-3</t>
  </si>
  <si>
    <t>TS-C-1</t>
  </si>
  <si>
    <t>TS-C-2</t>
  </si>
  <si>
    <t>TS-C-3</t>
  </si>
  <si>
    <t>GlacierID</t>
  </si>
  <si>
    <t>Location</t>
  </si>
  <si>
    <t>Moraine</t>
  </si>
  <si>
    <t>Moraine_num</t>
  </si>
  <si>
    <t>Moraine_x_ID</t>
  </si>
  <si>
    <t>Snow_1976</t>
  </si>
  <si>
    <t>Sample_Names</t>
  </si>
  <si>
    <t>Nub1-A-2-BS, Nub1-A-2-Wal</t>
  </si>
  <si>
    <t>Nub1-A-3-Moss1, Nub1-A-3-WalN</t>
  </si>
  <si>
    <t>Nub1-B-1-SC, Nub1-B-1-Moss1, Nub1-B-1-CaBo, Nub1-B-1-LicY, Nub1-B-1-Thy, Nub1-B-1-SibT</t>
  </si>
  <si>
    <t>Nub1-B-2-BS, Nub1-B-2-SC, Nub1-B-2-SaGl, Nub1-B-2-CaBo, Nub1-B-2-Lloy, Nub1-B-2-SibT, Nub1-B-2-LicY, Nub1-B-2-LicGn, Nub1-B-2-LicGy, Nub1-B-2-LicO</t>
  </si>
  <si>
    <t>Nub1-B-3-BS, Nub1-B-3-Moss1, Nub1-B-3-Moss2, Nub1-B-3-AsCo, Nub1-B-3-CaSa, Nub1-B-3-CaBo, Nub1-B-3-LicO</t>
  </si>
  <si>
    <t>Nub1-C-1-BS, Nub1-C-1-SC, Nub1-C-1-Moss1, Nub1-C-1-AsCo, Nub1-C-1-CaBo</t>
  </si>
  <si>
    <t>Nub1-C-2-BS, Nub1-C-2-SC, Nub1-C-2-Moss1*, Nub1-C-2-PoPa, Nub1-C-2-CaSa, Nub1-C-2-LicGy, Nub1-C-2-LicO</t>
  </si>
  <si>
    <t>Nub1-C-3-BS, Nub1-C-3-SC, Nub1-C-3-Moss2, Nub1-C-3-LeOc, Nub1-C-3-ThAl, Nub1-C-3-KoSc, Nub1-C-3-CaSa</t>
  </si>
  <si>
    <t>Nub2-A-2-WalN, Nub2-A-2-WalT, Nub2-A-2-SC, Nub2-A-2-Moss1</t>
  </si>
  <si>
    <t>Nub2-A-3-WalT, Nub2-A-3-WalN, Nub2-A-3-SC, Nub2-A-3-Moss1</t>
  </si>
  <si>
    <t>Nub2-B-1-BS, Nub2-B-1-SC, Nub2-B-1-Moss1, Nub2-B-1-WalT, Nub2-B-1-LicO</t>
  </si>
  <si>
    <t>Nub2-B-2-SC, Nub2-B-2-Moss1, Nub2-B-2-SaGl, Nub2-B-2-SibT, Nub2-B-2-CaBo, Nub2-B-2-SaxP, Nub2-B-2-LicO</t>
  </si>
  <si>
    <t>Nub2-B-3-BS, Nub2-B-3-SC, Nub2-B-3-Moss1, Nub2-B-3-Moss2, Nub2-B-3-KoSc, Nub2-B-3-CaBo, Nub2-B-3-CaSa, Nub2-B-3-LicY, Nub2-B-3-LicO</t>
  </si>
  <si>
    <t>Nub2-C-1-SC, Nub2-C-1-Moss1, Nub2-C-1-SibT, Nub2-C-1-PoPa, Nub2-C-1-CaBo, Nub2-C-1-LicO, Nub2-C-1-LicW, Nub2-C-1-LicB</t>
  </si>
  <si>
    <t>Nub2-C-2-BS, Nub2-C-2-SC, Nub2-C-2-Moss1, Nub2-C-2-Moss2, Nub2-C-2-LicO, Nub2-C-2-LicGy, Nub2-C-2-BiVi, Nub2-C-2-CaSa, Nub2-C-2-AsCo</t>
  </si>
  <si>
    <t>Nub2-C-3-BS, Nub2-C-3-SC, Nub2-C-3-Moss1, Nub2-C-3-CaSa, Nub2-C-3-SibT</t>
  </si>
  <si>
    <t>Nub3-A-1-SC, Nub3-A-1-Moss1, Nub3-A-1-CaNi, Nub3-A-1-DrLo, Nub3-A-1-DaAl</t>
  </si>
  <si>
    <t>Nub3-A-2-BS, Nub3-A-2-SC, Nub3-A-2-Moss1, Nub3-A-2-UrHy, Nub3-A-2-CaNi, Nub3-A-2-SiGo, Nub3-A-2-LiCo, Nub3-A-2-LicW</t>
  </si>
  <si>
    <t>Nub3-A-3-SC, Nub3-A-3-CaNi, Nub3-A-3-NeLo, Nub3-A-3-LicO</t>
  </si>
  <si>
    <t>Nub3-B-1-BS, Nub3-B-1-LicY, Nub3-B-1-DaDr, Nub3-B-1-Thy, Nub3-B-1-Moss2, Nub3-B-1-SC</t>
  </si>
  <si>
    <t>Nub3-B-2-BS, Nub3-B-2-LicGy, Nub3-B-2-CaBo, Nub3-B-2-PoAt, Nub3-B-2-Moss1, Nub3-B-2-SC</t>
  </si>
  <si>
    <t>Nub3-B-3-BS, Nub3-B-3-LicO, Nub3-B-3-CaBo, Nub3-B-3-LeOc, Nub3-B-3-TaLi, Nub3-B-3-Moss1, Nub3-B-3-SC</t>
  </si>
  <si>
    <t>Nub3-C-1-BS, Nub3-C-1-LeOc, Nub3-C-1-LiCo, Nub3-C-1-PoPa, Nub3-C-1-KoSc, Nub3-C-1-Moss1, Nub3-C-1-SC</t>
  </si>
  <si>
    <t>Nub3-C-2-LiCo, Nub3-C-2-KoSc, Nub3-C-2-ElJa, Nub3-C-2-PoPa, Nub3-C-2-Moss1, Nub3-C-2-SC</t>
  </si>
  <si>
    <t>Nub3-C-3-CaBo, Nub3-C-3-LicO, Nub3-C-3-OxPl, Nub3-C-3-PoPa, Nub3-C-3-LeOc, Nub3-C-3-SC</t>
  </si>
  <si>
    <t>TS-A-1-SC, TS-A-1-Thy, TS-A-1-Wal, TS-A-1-SaGl</t>
  </si>
  <si>
    <t>TS-A-2-BS, TS-A-2-SC, TS-A-2-Wal, TS-A-2-Ste, TS-A-2-Thy</t>
  </si>
  <si>
    <t>TS-A-3-BS, TS-A-3-SC, TS-A-3-LicO, TS-A-3-Poa, TS-A-3-Thy</t>
  </si>
  <si>
    <t>TS-B-1-BS, TS-B-1-SC, TS-B-1-LicO, TS-B-1-SaGl, TS-B-1-Are</t>
  </si>
  <si>
    <t>TS-B-2-BS, TS-B-2-SC, TS-B-2-LicGy, TS-B-2-LicO, TS-B-2-Thy, TS-B-2-Are, TS-B-2-DrAl</t>
  </si>
  <si>
    <t>TS-B-3-BS, TS-B-3-LicW, TS-B-3-LicO, TS-B-3-KoPy, TS-B-3-SaGl, TS-B-3-PoPa</t>
  </si>
  <si>
    <t>TS-C-1-BS, TS-C-1-SC, TS-C-1-LicO, TS-C-1-Moss1, TS-C-1-SaxN, TS-C-1-Wal, TS-C-1-Poa</t>
  </si>
  <si>
    <t>TS-C-2-BS, TS-C-2-SC, TS-C-2-LicO, TS-C-2-Moss1, TS-C-2-Wal, TS-C-2-Poa, TS-C-2-SaGn</t>
  </si>
  <si>
    <t>TS-C-3-SC, TS-C-3-Moss1, TS-C-3-SaGl, TS-C-3-LicO, TS-C-3-Poa, TS-C-3-Wal, TS-C-3-Thy</t>
  </si>
  <si>
    <t>NA</t>
  </si>
  <si>
    <t>SC_Samp</t>
  </si>
  <si>
    <t>BS_Samp</t>
  </si>
  <si>
    <t>Lic_Samp</t>
  </si>
  <si>
    <t>Moss_Samp</t>
  </si>
  <si>
    <t>Graminoid_Samp</t>
  </si>
  <si>
    <t>Forb_Samp</t>
  </si>
  <si>
    <t>Gaminoid_cover</t>
  </si>
  <si>
    <t>Forb_cover</t>
  </si>
  <si>
    <t>Total_lichen_cover</t>
  </si>
  <si>
    <t>Bare_Soil_Total</t>
  </si>
  <si>
    <t>Plant_Samp</t>
  </si>
  <si>
    <t>Crust_cover</t>
  </si>
  <si>
    <t>Moraine_Age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</si>
</sst>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37"/>
  <sheetViews>
    <sheetView tabSelected="1" topLeftCell="A22" workbookViewId="0">
      <pane xSplit="1" topLeftCell="B1" activePane="topRight" state="frozen"/>
      <selection pane="topRight" activeCell="E38" sqref="E38"/>
    </sheetView>
  </sheetViews>
  <sheetFormatPr defaultColWidth="10.90625" defaultRowHeight="14.5" x14ac:dyDescent="0.35"/>
  <cols>
    <col min="8" max="8" width="11.90625" style="1" customWidth="1"/>
    <col min="26" max="28" width="10.90625" customWidth="1"/>
    <col min="29" max="29" width="111.453125" customWidth="1"/>
    <col min="30" max="36" width="9.54296875" customWidth="1"/>
  </cols>
  <sheetData>
    <row r="1" spans="1:98" x14ac:dyDescent="0.35">
      <c r="A1" t="s">
        <v>0</v>
      </c>
      <c r="B1" t="s">
        <v>120</v>
      </c>
      <c r="C1" t="s">
        <v>119</v>
      </c>
      <c r="D1" t="s">
        <v>121</v>
      </c>
      <c r="E1" t="s">
        <v>173</v>
      </c>
      <c r="F1" t="s">
        <v>123</v>
      </c>
      <c r="G1" t="s">
        <v>122</v>
      </c>
      <c r="H1" s="1" t="s">
        <v>1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124</v>
      </c>
      <c r="AC1" t="s">
        <v>125</v>
      </c>
      <c r="AD1" t="s">
        <v>162</v>
      </c>
      <c r="AE1" t="s">
        <v>161</v>
      </c>
      <c r="AF1" t="s">
        <v>163</v>
      </c>
      <c r="AG1" t="s">
        <v>164</v>
      </c>
      <c r="AH1" t="s">
        <v>171</v>
      </c>
      <c r="AI1" t="s">
        <v>165</v>
      </c>
      <c r="AJ1" t="s">
        <v>166</v>
      </c>
      <c r="AK1" t="s">
        <v>21</v>
      </c>
      <c r="AL1" t="s">
        <v>22</v>
      </c>
      <c r="AM1" t="s">
        <v>23</v>
      </c>
      <c r="AN1" t="s">
        <v>24</v>
      </c>
      <c r="AO1" t="s">
        <v>25</v>
      </c>
      <c r="AP1" t="s">
        <v>26</v>
      </c>
      <c r="AQ1" t="s">
        <v>27</v>
      </c>
      <c r="AR1" t="s">
        <v>28</v>
      </c>
      <c r="AS1" t="s">
        <v>29</v>
      </c>
      <c r="AT1" t="s">
        <v>30</v>
      </c>
      <c r="AU1" t="s">
        <v>31</v>
      </c>
      <c r="AV1" t="s">
        <v>32</v>
      </c>
      <c r="AW1" t="s">
        <v>33</v>
      </c>
      <c r="AX1" t="s">
        <v>34</v>
      </c>
      <c r="AY1" t="s">
        <v>35</v>
      </c>
      <c r="AZ1" t="s">
        <v>36</v>
      </c>
      <c r="BA1" t="s">
        <v>37</v>
      </c>
      <c r="BB1" t="s">
        <v>38</v>
      </c>
      <c r="BC1" t="s">
        <v>39</v>
      </c>
      <c r="BD1" t="s">
        <v>40</v>
      </c>
      <c r="BE1" t="s">
        <v>41</v>
      </c>
      <c r="BF1" t="s">
        <v>42</v>
      </c>
      <c r="BG1" t="s">
        <v>43</v>
      </c>
      <c r="BH1" t="s">
        <v>44</v>
      </c>
      <c r="BI1" t="s">
        <v>45</v>
      </c>
      <c r="BJ1" t="s">
        <v>46</v>
      </c>
      <c r="BK1" t="s">
        <v>47</v>
      </c>
      <c r="BL1" t="s">
        <v>48</v>
      </c>
      <c r="BM1" t="s">
        <v>49</v>
      </c>
      <c r="BN1" t="s">
        <v>50</v>
      </c>
      <c r="BO1" t="s">
        <v>51</v>
      </c>
      <c r="BP1" t="s">
        <v>52</v>
      </c>
      <c r="BQ1" t="s">
        <v>53</v>
      </c>
      <c r="BR1" t="s">
        <v>54</v>
      </c>
      <c r="BS1" t="s">
        <v>55</v>
      </c>
      <c r="BT1" t="s">
        <v>56</v>
      </c>
      <c r="BU1" t="s">
        <v>57</v>
      </c>
      <c r="BV1" t="s">
        <v>58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64</v>
      </c>
      <c r="CC1" t="s">
        <v>65</v>
      </c>
      <c r="CD1" t="s">
        <v>66</v>
      </c>
      <c r="CE1" t="s">
        <v>67</v>
      </c>
      <c r="CF1" t="s">
        <v>68</v>
      </c>
      <c r="CG1" t="s">
        <v>167</v>
      </c>
      <c r="CH1" t="s">
        <v>168</v>
      </c>
      <c r="CI1" t="s">
        <v>69</v>
      </c>
      <c r="CJ1" t="s">
        <v>172</v>
      </c>
      <c r="CK1" t="s">
        <v>70</v>
      </c>
      <c r="CL1" t="s">
        <v>71</v>
      </c>
      <c r="CM1" t="s">
        <v>72</v>
      </c>
      <c r="CN1" t="s">
        <v>73</v>
      </c>
      <c r="CO1" t="s">
        <v>74</v>
      </c>
      <c r="CP1" t="s">
        <v>75</v>
      </c>
      <c r="CQ1" t="s">
        <v>76</v>
      </c>
      <c r="CR1" t="s">
        <v>169</v>
      </c>
      <c r="CS1" t="s">
        <v>77</v>
      </c>
      <c r="CT1" t="s">
        <v>170</v>
      </c>
    </row>
    <row r="2" spans="1:98" x14ac:dyDescent="0.35">
      <c r="A2" t="s">
        <v>78</v>
      </c>
      <c r="B2" t="s">
        <v>79</v>
      </c>
      <c r="C2">
        <v>1</v>
      </c>
      <c r="D2" t="s">
        <v>80</v>
      </c>
      <c r="E2">
        <v>1</v>
      </c>
      <c r="F2" t="str">
        <f>_xlfn.CONCAT(C2,"-",D2)</f>
        <v>1-A</v>
      </c>
      <c r="G2">
        <v>1</v>
      </c>
      <c r="H2" s="2">
        <v>44803</v>
      </c>
      <c r="I2">
        <v>34.67503</v>
      </c>
      <c r="J2">
        <v>77.753110000000007</v>
      </c>
      <c r="K2">
        <v>5404</v>
      </c>
      <c r="L2">
        <v>42</v>
      </c>
      <c r="M2">
        <v>138.17982482910099</v>
      </c>
      <c r="N2">
        <v>5.8842082023620597</v>
      </c>
      <c r="O2">
        <v>-0.375</v>
      </c>
      <c r="P2">
        <v>0.99894930391384396</v>
      </c>
      <c r="Q2">
        <v>8.11</v>
      </c>
      <c r="R2">
        <v>0.39442545358928599</v>
      </c>
      <c r="S2">
        <v>84.249276886668397</v>
      </c>
      <c r="T2">
        <v>124.964</v>
      </c>
      <c r="U2">
        <v>0.01</v>
      </c>
      <c r="V2">
        <v>765.26300000000003</v>
      </c>
      <c r="W2">
        <v>0.08</v>
      </c>
      <c r="X2">
        <v>8.2176654556241999E-2</v>
      </c>
      <c r="Y2">
        <v>0.20597593617480101</v>
      </c>
      <c r="Z2">
        <v>0.10577383173100301</v>
      </c>
      <c r="AA2">
        <v>1.3156909980845799</v>
      </c>
      <c r="AB2">
        <v>1</v>
      </c>
      <c r="AC2" t="s">
        <v>160</v>
      </c>
      <c r="AD2" t="s">
        <v>160</v>
      </c>
      <c r="AE2" t="s">
        <v>160</v>
      </c>
      <c r="AF2" t="s">
        <v>160</v>
      </c>
      <c r="AG2" t="s">
        <v>160</v>
      </c>
      <c r="AH2" t="s">
        <v>160</v>
      </c>
      <c r="AI2" t="s">
        <v>160</v>
      </c>
      <c r="AJ2" t="s">
        <v>160</v>
      </c>
      <c r="AK2">
        <v>2</v>
      </c>
      <c r="CG2">
        <f>SUM(AP2+AQ2+AR2+AX2+AY2+BA2+BB2+BJ2+CB2)</f>
        <v>0</v>
      </c>
      <c r="CH2">
        <f>SUM(AL2:AO2,AS2:AW2,AZ2,BC2:BI2,BK2:CA2,CC2:CF2)</f>
        <v>0</v>
      </c>
      <c r="CI2">
        <v>0</v>
      </c>
      <c r="CJ2">
        <v>40</v>
      </c>
      <c r="CR2">
        <f>SUM(CK2:CQ2)</f>
        <v>0</v>
      </c>
      <c r="CS2">
        <v>45</v>
      </c>
      <c r="CT2">
        <f>100-(CS2+CR2+CJ2+CI2+CH2+CG2)</f>
        <v>15</v>
      </c>
    </row>
    <row r="3" spans="1:98" x14ac:dyDescent="0.35">
      <c r="A3" t="s">
        <v>81</v>
      </c>
      <c r="B3" t="s">
        <v>79</v>
      </c>
      <c r="C3">
        <v>1</v>
      </c>
      <c r="D3" t="s">
        <v>80</v>
      </c>
      <c r="E3">
        <v>1</v>
      </c>
      <c r="F3" t="str">
        <f t="shared" ref="F3:F37" si="0">_xlfn.CONCAT(C3,"-",D3)</f>
        <v>1-A</v>
      </c>
      <c r="G3">
        <v>1</v>
      </c>
      <c r="H3" s="2">
        <v>44803</v>
      </c>
      <c r="I3">
        <v>34.674570000000003</v>
      </c>
      <c r="J3">
        <v>77.753119999999896</v>
      </c>
      <c r="K3">
        <v>5408</v>
      </c>
      <c r="L3">
        <v>94</v>
      </c>
      <c r="M3">
        <v>118.855659484863</v>
      </c>
      <c r="N3">
        <v>12.743505477905201</v>
      </c>
      <c r="O3">
        <v>-0.875</v>
      </c>
      <c r="P3">
        <v>0.996223564954684</v>
      </c>
      <c r="Q3">
        <v>8.1300000000000008</v>
      </c>
      <c r="R3">
        <v>0.83396512509484499</v>
      </c>
      <c r="S3">
        <v>57.1645185746777</v>
      </c>
      <c r="T3">
        <v>86.918999999999997</v>
      </c>
      <c r="U3">
        <v>0.01</v>
      </c>
      <c r="V3">
        <v>749.178</v>
      </c>
      <c r="W3">
        <v>7.0000000000000007E-2</v>
      </c>
      <c r="X3">
        <v>1.3535635949478901E-2</v>
      </c>
      <c r="Y3">
        <v>0.116806033188761</v>
      </c>
      <c r="Z3">
        <v>0.104274364914568</v>
      </c>
      <c r="AA3">
        <v>2.5083607377760502</v>
      </c>
      <c r="AB3">
        <v>1</v>
      </c>
      <c r="AC3" t="s">
        <v>126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1</v>
      </c>
      <c r="AK3">
        <v>3</v>
      </c>
      <c r="CD3">
        <v>5</v>
      </c>
      <c r="CG3">
        <f>SUM(AP3+AQ3+AR3+AX3+AY3+BA3+BB3+BJ3+CB3)</f>
        <v>0</v>
      </c>
      <c r="CH3">
        <f>SUM(AL3:AO3,AS3:AW3,AZ3,BC3:BI3,BK3:CA3,CC3:CF3)</f>
        <v>5</v>
      </c>
      <c r="CI3">
        <v>0</v>
      </c>
      <c r="CJ3">
        <v>10</v>
      </c>
      <c r="CR3">
        <f t="shared" ref="CR3:CR37" si="1">SUM(CK3:CQ3)</f>
        <v>0</v>
      </c>
      <c r="CS3">
        <v>85</v>
      </c>
      <c r="CT3">
        <f>100-(CS3+CR3+CJ3+CI3+CH3+CG3)</f>
        <v>0</v>
      </c>
    </row>
    <row r="4" spans="1:98" x14ac:dyDescent="0.35">
      <c r="A4" t="s">
        <v>82</v>
      </c>
      <c r="B4" t="s">
        <v>79</v>
      </c>
      <c r="C4">
        <v>1</v>
      </c>
      <c r="D4" t="s">
        <v>80</v>
      </c>
      <c r="E4">
        <v>1</v>
      </c>
      <c r="F4" t="str">
        <f t="shared" si="0"/>
        <v>1-A</v>
      </c>
      <c r="G4">
        <v>1</v>
      </c>
      <c r="H4" s="2">
        <v>44803</v>
      </c>
      <c r="I4">
        <v>34.673400000000001</v>
      </c>
      <c r="J4">
        <v>77.75282</v>
      </c>
      <c r="K4">
        <v>5399</v>
      </c>
      <c r="L4">
        <v>227</v>
      </c>
      <c r="M4">
        <v>144.46232604980401</v>
      </c>
      <c r="N4">
        <v>11.785361289978001</v>
      </c>
      <c r="O4">
        <v>-1.625</v>
      </c>
      <c r="P4">
        <v>0.99772985244040802</v>
      </c>
      <c r="Q4">
        <v>8.61</v>
      </c>
      <c r="R4">
        <v>1.64960182025028</v>
      </c>
      <c r="S4">
        <v>59.783845278725899</v>
      </c>
      <c r="T4">
        <v>135.76300000000001</v>
      </c>
      <c r="U4">
        <v>0.01</v>
      </c>
      <c r="V4">
        <v>832.12400000000002</v>
      </c>
      <c r="W4">
        <v>0.08</v>
      </c>
      <c r="X4">
        <v>1.0430621565635401E-2</v>
      </c>
      <c r="Y4">
        <v>0.191749626369105</v>
      </c>
      <c r="Z4">
        <v>6.5741189205344899E-2</v>
      </c>
      <c r="AA4">
        <v>1.2967186868595499</v>
      </c>
      <c r="AB4">
        <v>1</v>
      </c>
      <c r="AC4" t="s">
        <v>127</v>
      </c>
      <c r="AD4">
        <v>0</v>
      </c>
      <c r="AE4">
        <v>0</v>
      </c>
      <c r="AF4">
        <v>0</v>
      </c>
      <c r="AG4">
        <v>1</v>
      </c>
      <c r="AH4">
        <v>1</v>
      </c>
      <c r="AI4">
        <v>0</v>
      </c>
      <c r="AJ4">
        <v>1</v>
      </c>
      <c r="AK4">
        <v>5</v>
      </c>
      <c r="AQ4">
        <v>1.5</v>
      </c>
      <c r="CD4">
        <v>4</v>
      </c>
      <c r="CG4">
        <f>SUM(AP4+AQ4+AR4+AX4+AY4+BA4+BB4+BJ4+CB4)</f>
        <v>1.5</v>
      </c>
      <c r="CH4">
        <f t="shared" ref="CH4:CH37" si="2">SUM(AL4:AO4,AS4:AW4,AZ4,BC4:BI4,BK4:CA4,CC4:CF4)</f>
        <v>4</v>
      </c>
      <c r="CI4">
        <v>0.5</v>
      </c>
      <c r="CJ4">
        <v>4</v>
      </c>
      <c r="CR4">
        <f t="shared" si="1"/>
        <v>0</v>
      </c>
      <c r="CS4">
        <v>90</v>
      </c>
      <c r="CT4">
        <f>100-(CS4+CR4+CJ4+CI4+CH4+CG4)</f>
        <v>0</v>
      </c>
    </row>
    <row r="5" spans="1:98" x14ac:dyDescent="0.35">
      <c r="A5" t="s">
        <v>83</v>
      </c>
      <c r="B5" t="s">
        <v>79</v>
      </c>
      <c r="C5">
        <v>1</v>
      </c>
      <c r="D5" t="s">
        <v>84</v>
      </c>
      <c r="E5">
        <v>2</v>
      </c>
      <c r="F5" t="str">
        <f t="shared" si="0"/>
        <v>1-B</v>
      </c>
      <c r="G5">
        <v>2</v>
      </c>
      <c r="H5" s="2">
        <v>44803</v>
      </c>
      <c r="I5">
        <v>34.671129999999899</v>
      </c>
      <c r="J5">
        <v>77.752129999999894</v>
      </c>
      <c r="K5">
        <v>5352</v>
      </c>
      <c r="L5">
        <v>488</v>
      </c>
      <c r="M5">
        <v>173.1572265625</v>
      </c>
      <c r="N5">
        <v>11.506480216979901</v>
      </c>
      <c r="O5">
        <v>-0.5</v>
      </c>
      <c r="P5">
        <v>0.85793871866295202</v>
      </c>
      <c r="Q5">
        <v>8.93</v>
      </c>
      <c r="R5">
        <v>8.4415584415583798</v>
      </c>
      <c r="S5">
        <v>11.8506493506491</v>
      </c>
      <c r="T5">
        <v>2904.8110000000001</v>
      </c>
      <c r="U5">
        <v>0.28999999999999998</v>
      </c>
      <c r="V5">
        <v>768.52200000000005</v>
      </c>
      <c r="W5">
        <v>0.08</v>
      </c>
      <c r="X5">
        <v>1.58567648448882E-2</v>
      </c>
      <c r="Y5">
        <v>0.37310422410424299</v>
      </c>
      <c r="Z5">
        <v>8.77379308279575E-2</v>
      </c>
      <c r="AA5">
        <v>7.2209270972613</v>
      </c>
      <c r="AB5">
        <v>1</v>
      </c>
      <c r="AC5" t="s">
        <v>128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7</v>
      </c>
      <c r="AM5">
        <v>1.5</v>
      </c>
      <c r="AP5">
        <v>45</v>
      </c>
      <c r="AZ5">
        <v>0.5</v>
      </c>
      <c r="BO5">
        <v>1.5</v>
      </c>
      <c r="BV5">
        <v>15</v>
      </c>
      <c r="CF5">
        <v>15</v>
      </c>
      <c r="CG5">
        <f>SUM(AP5+AQ5+AR5+AX5+AY5+BA5+BB5+BJ5+CB5)</f>
        <v>45</v>
      </c>
      <c r="CH5">
        <f t="shared" si="2"/>
        <v>33.5</v>
      </c>
      <c r="CI5">
        <v>4</v>
      </c>
      <c r="CJ5">
        <v>20</v>
      </c>
      <c r="CK5">
        <v>2</v>
      </c>
      <c r="CR5">
        <f t="shared" si="1"/>
        <v>2</v>
      </c>
      <c r="CS5">
        <v>8</v>
      </c>
      <c r="CT5">
        <v>0</v>
      </c>
    </row>
    <row r="6" spans="1:98" x14ac:dyDescent="0.35">
      <c r="A6" t="s">
        <v>85</v>
      </c>
      <c r="B6" t="s">
        <v>79</v>
      </c>
      <c r="C6">
        <v>1</v>
      </c>
      <c r="D6" t="s">
        <v>84</v>
      </c>
      <c r="E6">
        <v>2</v>
      </c>
      <c r="F6" t="str">
        <f t="shared" si="0"/>
        <v>1-B</v>
      </c>
      <c r="G6">
        <v>2</v>
      </c>
      <c r="H6" s="2">
        <v>44803</v>
      </c>
      <c r="I6">
        <v>34.670360000000002</v>
      </c>
      <c r="J6">
        <v>77.751890000000003</v>
      </c>
      <c r="K6">
        <v>5353</v>
      </c>
      <c r="L6">
        <v>573</v>
      </c>
      <c r="M6">
        <v>123.11134338378901</v>
      </c>
      <c r="N6">
        <v>6.3339323997497496</v>
      </c>
      <c r="O6">
        <v>0.625</v>
      </c>
      <c r="P6">
        <v>0.97557755775577504</v>
      </c>
      <c r="Q6">
        <v>9.14</v>
      </c>
      <c r="R6">
        <v>5.1420838971583596</v>
      </c>
      <c r="S6">
        <v>12.922868741542599</v>
      </c>
      <c r="T6">
        <v>1781.4639999999999</v>
      </c>
      <c r="U6">
        <v>0.18</v>
      </c>
      <c r="V6">
        <v>812.06299999999999</v>
      </c>
      <c r="W6">
        <v>0.08</v>
      </c>
      <c r="X6">
        <v>1.7536116502058899E-2</v>
      </c>
      <c r="Y6">
        <v>0.18764319609425201</v>
      </c>
      <c r="Z6">
        <v>9.2268520374044302E-2</v>
      </c>
      <c r="AA6">
        <v>5.9191388726988601</v>
      </c>
      <c r="AB6">
        <v>1</v>
      </c>
      <c r="AC6" t="s">
        <v>129</v>
      </c>
      <c r="AD6">
        <v>1</v>
      </c>
      <c r="AE6">
        <v>1</v>
      </c>
      <c r="AF6">
        <v>1</v>
      </c>
      <c r="AG6">
        <v>0</v>
      </c>
      <c r="AH6">
        <v>1</v>
      </c>
      <c r="AI6">
        <v>1</v>
      </c>
      <c r="AJ6">
        <v>1</v>
      </c>
      <c r="AK6">
        <v>10</v>
      </c>
      <c r="AP6">
        <v>5</v>
      </c>
      <c r="BD6">
        <v>30</v>
      </c>
      <c r="BO6">
        <v>2.5</v>
      </c>
      <c r="BV6">
        <v>40</v>
      </c>
      <c r="CB6" t="b">
        <v>1</v>
      </c>
      <c r="CG6">
        <f>SUM(AP6+AQ6+AR6+AX6+AY6+BA6+BB6+BJ6+CB6)</f>
        <v>6</v>
      </c>
      <c r="CH6">
        <f t="shared" si="2"/>
        <v>72.5</v>
      </c>
      <c r="CI6">
        <v>0.5</v>
      </c>
      <c r="CJ6">
        <v>33</v>
      </c>
      <c r="CL6">
        <v>2.5</v>
      </c>
      <c r="CM6">
        <v>4</v>
      </c>
      <c r="CN6">
        <v>2</v>
      </c>
      <c r="CO6">
        <v>0.5</v>
      </c>
      <c r="CR6">
        <f t="shared" si="1"/>
        <v>9</v>
      </c>
      <c r="CS6">
        <v>8</v>
      </c>
      <c r="CT6">
        <v>0</v>
      </c>
    </row>
    <row r="7" spans="1:98" x14ac:dyDescent="0.35">
      <c r="A7" t="s">
        <v>86</v>
      </c>
      <c r="B7" t="s">
        <v>79</v>
      </c>
      <c r="C7">
        <v>1</v>
      </c>
      <c r="D7" t="s">
        <v>84</v>
      </c>
      <c r="E7">
        <v>2</v>
      </c>
      <c r="F7" t="str">
        <f t="shared" si="0"/>
        <v>1-B</v>
      </c>
      <c r="G7">
        <v>2</v>
      </c>
      <c r="H7" s="2">
        <v>44803</v>
      </c>
      <c r="I7">
        <v>34.669800000000002</v>
      </c>
      <c r="J7">
        <v>77.751170000000002</v>
      </c>
      <c r="K7">
        <v>5339</v>
      </c>
      <c r="L7">
        <v>654</v>
      </c>
      <c r="M7">
        <v>163.17858886718699</v>
      </c>
      <c r="N7">
        <v>10.292375564575099</v>
      </c>
      <c r="O7">
        <v>-0.625</v>
      </c>
      <c r="P7">
        <v>0.85727272727272696</v>
      </c>
      <c r="Q7">
        <v>8.27</v>
      </c>
      <c r="R7">
        <v>6.6808059384942302</v>
      </c>
      <c r="S7">
        <v>2.6511134676564501</v>
      </c>
      <c r="T7">
        <v>3420.6570000000002</v>
      </c>
      <c r="U7">
        <v>0.34</v>
      </c>
      <c r="V7">
        <v>850.83199999999999</v>
      </c>
      <c r="W7">
        <v>0.09</v>
      </c>
      <c r="X7">
        <v>1.52567386365755E-2</v>
      </c>
      <c r="Y7">
        <v>0.34797928506016301</v>
      </c>
      <c r="Z7">
        <v>8.5030649539401107E-2</v>
      </c>
      <c r="AA7">
        <v>2.9865986085256901</v>
      </c>
      <c r="AB7">
        <v>1</v>
      </c>
      <c r="AC7" t="s">
        <v>130</v>
      </c>
      <c r="AD7">
        <v>1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K7">
        <v>7</v>
      </c>
      <c r="AM7">
        <v>0.2</v>
      </c>
      <c r="AN7">
        <v>10</v>
      </c>
      <c r="AP7">
        <v>20</v>
      </c>
      <c r="AR7">
        <v>60</v>
      </c>
      <c r="BC7">
        <v>4</v>
      </c>
      <c r="CF7">
        <v>7</v>
      </c>
      <c r="CG7">
        <f>SUM(AP7+AQ7+AR7+AX7+AY7+BA7+BB7+BJ7+CB7)</f>
        <v>80</v>
      </c>
      <c r="CH7">
        <f t="shared" si="2"/>
        <v>21.2</v>
      </c>
      <c r="CI7">
        <v>6</v>
      </c>
      <c r="CJ7">
        <v>1.5</v>
      </c>
      <c r="CO7">
        <v>7</v>
      </c>
      <c r="CR7">
        <f t="shared" si="1"/>
        <v>7</v>
      </c>
      <c r="CS7">
        <v>15</v>
      </c>
      <c r="CT7">
        <v>0</v>
      </c>
    </row>
    <row r="8" spans="1:98" x14ac:dyDescent="0.35">
      <c r="A8" t="s">
        <v>87</v>
      </c>
      <c r="B8" t="s">
        <v>79</v>
      </c>
      <c r="C8">
        <v>1</v>
      </c>
      <c r="D8" t="s">
        <v>88</v>
      </c>
      <c r="E8">
        <v>3</v>
      </c>
      <c r="F8" t="str">
        <f t="shared" si="0"/>
        <v>1-C</v>
      </c>
      <c r="G8">
        <v>3</v>
      </c>
      <c r="H8" s="2">
        <v>44803</v>
      </c>
      <c r="I8">
        <v>34.667430000000003</v>
      </c>
      <c r="J8">
        <v>77.749660000000006</v>
      </c>
      <c r="K8">
        <v>5256</v>
      </c>
      <c r="L8">
        <v>946</v>
      </c>
      <c r="M8">
        <v>164.16760253906199</v>
      </c>
      <c r="N8">
        <v>15.723004341125399</v>
      </c>
      <c r="O8">
        <v>-1.625</v>
      </c>
      <c r="P8">
        <v>0.97210113339145598</v>
      </c>
      <c r="Q8">
        <v>8.15</v>
      </c>
      <c r="R8">
        <v>6.5470852017935997</v>
      </c>
      <c r="S8">
        <v>3.49775784753361</v>
      </c>
      <c r="T8">
        <v>2133.2280000000001</v>
      </c>
      <c r="U8">
        <v>0.21</v>
      </c>
      <c r="V8">
        <v>854.41700000000003</v>
      </c>
      <c r="W8">
        <v>0.09</v>
      </c>
      <c r="X8">
        <v>1.2597465512761599E-2</v>
      </c>
      <c r="Y8">
        <v>0.20451616157532301</v>
      </c>
      <c r="Z8">
        <v>0.108186643368486</v>
      </c>
      <c r="AA8">
        <v>3.6116161440774399</v>
      </c>
      <c r="AB8">
        <v>0</v>
      </c>
      <c r="AC8" t="s">
        <v>131</v>
      </c>
      <c r="AD8">
        <v>1</v>
      </c>
      <c r="AE8">
        <v>1</v>
      </c>
      <c r="AF8">
        <v>0</v>
      </c>
      <c r="AG8">
        <v>1</v>
      </c>
      <c r="AH8">
        <v>1</v>
      </c>
      <c r="AI8">
        <v>1</v>
      </c>
      <c r="AJ8">
        <v>1</v>
      </c>
      <c r="AK8">
        <v>8</v>
      </c>
      <c r="AM8">
        <v>1.5</v>
      </c>
      <c r="AN8">
        <v>7</v>
      </c>
      <c r="AP8">
        <v>18</v>
      </c>
      <c r="AU8">
        <v>0.1</v>
      </c>
      <c r="AZ8">
        <v>0.1</v>
      </c>
      <c r="BB8">
        <v>15</v>
      </c>
      <c r="BC8">
        <v>5</v>
      </c>
      <c r="BL8">
        <v>2</v>
      </c>
      <c r="BM8">
        <v>1</v>
      </c>
      <c r="BO8">
        <v>0.5</v>
      </c>
      <c r="CA8">
        <v>0.5</v>
      </c>
      <c r="CG8">
        <f>SUM(AP8+AQ8+AR8+AX8+AY8+BA8+BB8+BJ8+CB8)</f>
        <v>33</v>
      </c>
      <c r="CH8">
        <f t="shared" si="2"/>
        <v>17.7</v>
      </c>
      <c r="CI8">
        <v>0.5</v>
      </c>
      <c r="CJ8">
        <v>22</v>
      </c>
      <c r="CL8">
        <v>3</v>
      </c>
      <c r="CO8">
        <v>8.1</v>
      </c>
      <c r="CR8">
        <f t="shared" si="1"/>
        <v>11.1</v>
      </c>
      <c r="CS8">
        <v>25</v>
      </c>
      <c r="CT8">
        <v>0</v>
      </c>
    </row>
    <row r="9" spans="1:98" x14ac:dyDescent="0.35">
      <c r="A9" t="s">
        <v>89</v>
      </c>
      <c r="B9" t="s">
        <v>79</v>
      </c>
      <c r="C9">
        <v>1</v>
      </c>
      <c r="D9" t="s">
        <v>88</v>
      </c>
      <c r="E9">
        <v>3</v>
      </c>
      <c r="F9" t="str">
        <f t="shared" si="0"/>
        <v>1-C</v>
      </c>
      <c r="G9">
        <v>3</v>
      </c>
      <c r="H9" s="2">
        <v>44803</v>
      </c>
      <c r="I9">
        <v>34.661200000000001</v>
      </c>
      <c r="J9">
        <v>77.749489999999895</v>
      </c>
      <c r="K9">
        <v>5251</v>
      </c>
      <c r="L9">
        <v>1090</v>
      </c>
      <c r="M9">
        <v>196.69924926757801</v>
      </c>
      <c r="N9">
        <v>26.859786987304599</v>
      </c>
      <c r="O9">
        <v>-3.625</v>
      </c>
      <c r="P9">
        <v>0.97064777327935203</v>
      </c>
      <c r="Q9">
        <v>8.86</v>
      </c>
      <c r="R9">
        <v>5.2137643378520098</v>
      </c>
      <c r="S9">
        <v>8.4462982273200797</v>
      </c>
      <c r="T9">
        <v>2579.5210000000002</v>
      </c>
      <c r="U9">
        <v>0.26</v>
      </c>
      <c r="V9">
        <v>813.88599999999997</v>
      </c>
      <c r="W9">
        <v>0.08</v>
      </c>
      <c r="X9">
        <v>2.0716032970271501E-2</v>
      </c>
      <c r="Y9">
        <v>0.36127828279873497</v>
      </c>
      <c r="Z9">
        <v>0.106980178389588</v>
      </c>
      <c r="AA9">
        <v>5.4355509968785203</v>
      </c>
      <c r="AB9">
        <v>1</v>
      </c>
      <c r="AC9" t="s">
        <v>132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9</v>
      </c>
      <c r="AN9">
        <v>0.5</v>
      </c>
      <c r="AR9">
        <v>14</v>
      </c>
      <c r="AU9">
        <v>0.1</v>
      </c>
      <c r="AZ9">
        <v>0.1</v>
      </c>
      <c r="BD9">
        <v>10</v>
      </c>
      <c r="BG9">
        <v>3</v>
      </c>
      <c r="BJ9">
        <v>3</v>
      </c>
      <c r="BL9">
        <v>5</v>
      </c>
      <c r="BO9">
        <v>2.5</v>
      </c>
      <c r="CF9">
        <v>2</v>
      </c>
      <c r="CG9">
        <f>SUM(AP9+AQ9+AR9+AX9+AY9+BA9+BB9+BJ9+CB9)</f>
        <v>17</v>
      </c>
      <c r="CH9">
        <f t="shared" si="2"/>
        <v>23.2</v>
      </c>
      <c r="CI9">
        <v>2.5</v>
      </c>
      <c r="CJ9">
        <v>10</v>
      </c>
      <c r="CL9">
        <v>1</v>
      </c>
      <c r="CO9">
        <v>0.5</v>
      </c>
      <c r="CP9">
        <v>0.1</v>
      </c>
      <c r="CR9">
        <f t="shared" si="1"/>
        <v>1.6</v>
      </c>
      <c r="CS9">
        <v>8</v>
      </c>
      <c r="CT9">
        <f>100-(CS9+CR9+CJ9+CI9+CH9+CG9)</f>
        <v>37.700000000000003</v>
      </c>
    </row>
    <row r="10" spans="1:98" x14ac:dyDescent="0.35">
      <c r="A10" t="s">
        <v>90</v>
      </c>
      <c r="B10" t="s">
        <v>79</v>
      </c>
      <c r="C10">
        <v>1</v>
      </c>
      <c r="D10" t="s">
        <v>88</v>
      </c>
      <c r="E10">
        <v>3</v>
      </c>
      <c r="F10" t="str">
        <f t="shared" si="0"/>
        <v>1-C</v>
      </c>
      <c r="G10">
        <v>3</v>
      </c>
      <c r="H10" s="2">
        <v>44803</v>
      </c>
      <c r="I10">
        <v>34.66572</v>
      </c>
      <c r="J10">
        <v>77.749319999999898</v>
      </c>
      <c r="K10">
        <v>5244</v>
      </c>
      <c r="L10">
        <v>1140</v>
      </c>
      <c r="M10">
        <v>143.74615478515599</v>
      </c>
      <c r="N10">
        <v>4.30014896392822</v>
      </c>
      <c r="O10">
        <v>-1.5</v>
      </c>
      <c r="P10">
        <v>0.91020910209102202</v>
      </c>
      <c r="Q10">
        <v>8.91</v>
      </c>
      <c r="R10">
        <v>6.2162162162163703</v>
      </c>
      <c r="S10">
        <v>7.4324324324323898</v>
      </c>
      <c r="T10">
        <v>3117.5129999999999</v>
      </c>
      <c r="U10">
        <v>0.31</v>
      </c>
      <c r="V10">
        <v>688.42399999999998</v>
      </c>
      <c r="W10">
        <v>7.0000000000000007E-2</v>
      </c>
      <c r="X10">
        <v>7.27099626973369E-2</v>
      </c>
      <c r="Y10">
        <v>0.704202074943728</v>
      </c>
      <c r="Z10">
        <v>9.5266264306133996E-2</v>
      </c>
      <c r="AA10">
        <v>6.5310991679371</v>
      </c>
      <c r="AB10">
        <v>0</v>
      </c>
      <c r="AC10" t="s">
        <v>133</v>
      </c>
      <c r="AD10">
        <v>1</v>
      </c>
      <c r="AE10">
        <v>1</v>
      </c>
      <c r="AF10">
        <v>0</v>
      </c>
      <c r="AG10">
        <v>1</v>
      </c>
      <c r="AH10">
        <v>1</v>
      </c>
      <c r="AI10">
        <v>1</v>
      </c>
      <c r="AJ10">
        <v>1</v>
      </c>
      <c r="AK10">
        <v>7</v>
      </c>
      <c r="AN10">
        <v>1</v>
      </c>
      <c r="AR10">
        <v>30</v>
      </c>
      <c r="BB10">
        <v>16</v>
      </c>
      <c r="BC10">
        <v>6</v>
      </c>
      <c r="BG10">
        <v>3</v>
      </c>
      <c r="BL10">
        <v>0.5</v>
      </c>
      <c r="BM10">
        <v>0.1</v>
      </c>
      <c r="BO10">
        <v>1.5</v>
      </c>
      <c r="CA10">
        <v>5.5</v>
      </c>
      <c r="CG10">
        <f>SUM(AP10+AQ10+AR10+AX10+AY10+BA10+BB10+BJ10+CB10)</f>
        <v>46</v>
      </c>
      <c r="CH10">
        <f t="shared" si="2"/>
        <v>17.600000000000001</v>
      </c>
      <c r="CI10">
        <v>0.1</v>
      </c>
      <c r="CJ10">
        <v>7</v>
      </c>
      <c r="CR10">
        <f t="shared" si="1"/>
        <v>0</v>
      </c>
      <c r="CS10">
        <v>0</v>
      </c>
      <c r="CT10">
        <f>100-(CS10+CR10+CJ10+CI10+CH10+CG10)</f>
        <v>29.299999999999997</v>
      </c>
    </row>
    <row r="11" spans="1:98" x14ac:dyDescent="0.35">
      <c r="A11" t="s">
        <v>91</v>
      </c>
      <c r="B11" t="s">
        <v>79</v>
      </c>
      <c r="C11">
        <v>2</v>
      </c>
      <c r="D11" t="s">
        <v>80</v>
      </c>
      <c r="E11">
        <v>1</v>
      </c>
      <c r="F11" t="str">
        <f t="shared" si="0"/>
        <v>2-A</v>
      </c>
      <c r="G11">
        <v>1</v>
      </c>
      <c r="H11" s="2">
        <v>44804</v>
      </c>
      <c r="I11">
        <v>34.661639999999899</v>
      </c>
      <c r="J11">
        <v>77.762609999999896</v>
      </c>
      <c r="K11">
        <v>5322</v>
      </c>
      <c r="L11">
        <v>55</v>
      </c>
      <c r="M11">
        <v>306.86990356445301</v>
      </c>
      <c r="N11">
        <v>9.1850004196166903</v>
      </c>
      <c r="O11">
        <v>-0.875</v>
      </c>
      <c r="P11">
        <v>0.92376681614349798</v>
      </c>
      <c r="Q11">
        <v>8.34</v>
      </c>
      <c r="R11">
        <v>0.364077669902926</v>
      </c>
      <c r="S11">
        <v>0.84951456310675499</v>
      </c>
      <c r="T11">
        <v>209.91499999999999</v>
      </c>
      <c r="U11">
        <v>0.02</v>
      </c>
      <c r="V11">
        <v>697.78099999999995</v>
      </c>
      <c r="W11">
        <v>7.0000000000000007E-2</v>
      </c>
      <c r="X11">
        <v>1.5749320693141899E-2</v>
      </c>
      <c r="Y11">
        <v>0.43679974547429501</v>
      </c>
      <c r="Z11">
        <v>4.8257250347598701E-2</v>
      </c>
      <c r="AA11">
        <v>1.31803768359819</v>
      </c>
      <c r="AB11">
        <v>1</v>
      </c>
      <c r="AC11" t="s">
        <v>160</v>
      </c>
      <c r="AD11" t="s">
        <v>160</v>
      </c>
      <c r="AE11" t="s">
        <v>160</v>
      </c>
      <c r="AF11" t="s">
        <v>160</v>
      </c>
      <c r="AG11" t="s">
        <v>160</v>
      </c>
      <c r="AH11" t="s">
        <v>160</v>
      </c>
      <c r="AI11" t="s">
        <v>160</v>
      </c>
      <c r="AJ11" t="s">
        <v>160</v>
      </c>
      <c r="AK11">
        <v>3</v>
      </c>
      <c r="CG11">
        <f>SUM(AP11+AQ11+AR11+AX11+AY11+BA11+BB11+BJ11+CB11)</f>
        <v>0</v>
      </c>
      <c r="CH11">
        <f t="shared" si="2"/>
        <v>0</v>
      </c>
      <c r="CI11">
        <v>15</v>
      </c>
      <c r="CJ11">
        <v>23</v>
      </c>
      <c r="CR11">
        <f t="shared" si="1"/>
        <v>0</v>
      </c>
      <c r="CS11">
        <v>15</v>
      </c>
      <c r="CT11">
        <f>100-(CS11+CR11+CJ11+CI11+CH11+CG11)</f>
        <v>47</v>
      </c>
    </row>
    <row r="12" spans="1:98" x14ac:dyDescent="0.35">
      <c r="A12" t="s">
        <v>92</v>
      </c>
      <c r="B12" t="s">
        <v>79</v>
      </c>
      <c r="C12">
        <v>2</v>
      </c>
      <c r="D12" t="s">
        <v>80</v>
      </c>
      <c r="E12">
        <v>1</v>
      </c>
      <c r="F12" t="str">
        <f t="shared" si="0"/>
        <v>2-A</v>
      </c>
      <c r="G12">
        <v>1</v>
      </c>
      <c r="H12" s="2">
        <v>44804</v>
      </c>
      <c r="I12">
        <v>34.661850000000001</v>
      </c>
      <c r="J12">
        <v>77.761409999999898</v>
      </c>
      <c r="K12">
        <v>5336</v>
      </c>
      <c r="L12">
        <v>166</v>
      </c>
      <c r="M12">
        <v>330.255126953125</v>
      </c>
      <c r="N12">
        <v>7.4273915290832502</v>
      </c>
      <c r="O12">
        <v>1.375</v>
      </c>
      <c r="P12">
        <v>0.98631893971782802</v>
      </c>
      <c r="Q12">
        <v>8.36</v>
      </c>
      <c r="R12">
        <v>0.30342436064143502</v>
      </c>
      <c r="S12">
        <v>50.021673168617298</v>
      </c>
      <c r="T12">
        <v>100.47199999999999</v>
      </c>
      <c r="U12">
        <v>0.01</v>
      </c>
      <c r="V12">
        <v>573.68399999999997</v>
      </c>
      <c r="W12">
        <v>0.06</v>
      </c>
      <c r="X12">
        <v>1.17835885401768E-2</v>
      </c>
      <c r="Y12">
        <v>0.18761814614539599</v>
      </c>
      <c r="Z12">
        <v>5.4783895708586702E-2</v>
      </c>
      <c r="AA12">
        <v>1.3318909607535301</v>
      </c>
      <c r="AB12">
        <v>1</v>
      </c>
      <c r="AC12" t="s">
        <v>134</v>
      </c>
      <c r="AD12">
        <v>0</v>
      </c>
      <c r="AE12">
        <v>1</v>
      </c>
      <c r="AF12">
        <v>0</v>
      </c>
      <c r="AG12">
        <v>1</v>
      </c>
      <c r="AH12">
        <v>1</v>
      </c>
      <c r="AI12">
        <v>0</v>
      </c>
      <c r="AJ12">
        <v>1</v>
      </c>
      <c r="AK12">
        <v>5</v>
      </c>
      <c r="CD12">
        <v>3</v>
      </c>
      <c r="CE12">
        <v>0.5</v>
      </c>
      <c r="CG12">
        <f>SUM(AP12+AQ12+AR12+AX12+AY12+BA12+BB12+BJ12+CB12)</f>
        <v>0</v>
      </c>
      <c r="CH12">
        <f t="shared" si="2"/>
        <v>3.5</v>
      </c>
      <c r="CI12">
        <v>1</v>
      </c>
      <c r="CJ12">
        <v>10</v>
      </c>
      <c r="CR12">
        <f t="shared" si="1"/>
        <v>0</v>
      </c>
      <c r="CS12">
        <v>85</v>
      </c>
      <c r="CT12">
        <f>100-(CS12+CR12+CJ12+CI12+CH12+CG12)</f>
        <v>0.5</v>
      </c>
    </row>
    <row r="13" spans="1:98" x14ac:dyDescent="0.35">
      <c r="A13" t="s">
        <v>93</v>
      </c>
      <c r="B13" t="s">
        <v>79</v>
      </c>
      <c r="C13">
        <v>2</v>
      </c>
      <c r="D13" t="s">
        <v>80</v>
      </c>
      <c r="E13">
        <v>1</v>
      </c>
      <c r="F13" t="str">
        <f t="shared" si="0"/>
        <v>2-A</v>
      </c>
      <c r="G13">
        <v>1</v>
      </c>
      <c r="H13" s="2">
        <v>44804</v>
      </c>
      <c r="I13">
        <v>34.661769999999898</v>
      </c>
      <c r="J13">
        <v>77.760279999999895</v>
      </c>
      <c r="K13">
        <v>5328</v>
      </c>
      <c r="L13">
        <v>266</v>
      </c>
      <c r="M13">
        <v>229.23638916015599</v>
      </c>
      <c r="N13">
        <v>8.7982530593871999</v>
      </c>
      <c r="O13">
        <v>-1.25</v>
      </c>
      <c r="P13">
        <v>0.96208825357364702</v>
      </c>
      <c r="Q13">
        <v>8.6999999999999993</v>
      </c>
      <c r="R13">
        <v>0.83979328165374001</v>
      </c>
      <c r="S13">
        <v>64.341085271317894</v>
      </c>
      <c r="T13">
        <v>89.846000000000004</v>
      </c>
      <c r="U13">
        <v>0.01</v>
      </c>
      <c r="V13">
        <v>642.18100000000004</v>
      </c>
      <c r="W13">
        <v>0.06</v>
      </c>
      <c r="X13">
        <v>1.1769729188259401E-2</v>
      </c>
      <c r="Y13">
        <v>0.152405449992986</v>
      </c>
      <c r="Z13">
        <v>8.1279163826295797E-2</v>
      </c>
      <c r="AA13">
        <v>1.33016580448252</v>
      </c>
      <c r="AB13">
        <v>1</v>
      </c>
      <c r="AC13" t="s">
        <v>135</v>
      </c>
      <c r="AD13">
        <v>0</v>
      </c>
      <c r="AE13">
        <v>1</v>
      </c>
      <c r="AF13">
        <v>0</v>
      </c>
      <c r="AG13">
        <v>1</v>
      </c>
      <c r="AH13">
        <v>1</v>
      </c>
      <c r="AI13">
        <v>0</v>
      </c>
      <c r="AJ13">
        <v>1</v>
      </c>
      <c r="AK13">
        <v>5</v>
      </c>
      <c r="CD13">
        <v>7.5</v>
      </c>
      <c r="CE13">
        <v>0.5</v>
      </c>
      <c r="CG13">
        <f>SUM(AP13+AQ13+AR13+AX13+AY13+BA13+BB13+BJ13+CB13)</f>
        <v>0</v>
      </c>
      <c r="CH13">
        <f t="shared" si="2"/>
        <v>8</v>
      </c>
      <c r="CI13">
        <v>0.5</v>
      </c>
      <c r="CJ13">
        <v>7.5</v>
      </c>
      <c r="CR13">
        <f t="shared" si="1"/>
        <v>0</v>
      </c>
      <c r="CS13">
        <v>84</v>
      </c>
      <c r="CT13">
        <f>100-(CS13+CR13+CJ13+CI13+CH13+CG13)</f>
        <v>0</v>
      </c>
    </row>
    <row r="14" spans="1:98" x14ac:dyDescent="0.35">
      <c r="A14" t="s">
        <v>94</v>
      </c>
      <c r="B14" t="s">
        <v>79</v>
      </c>
      <c r="C14">
        <v>2</v>
      </c>
      <c r="D14" t="s">
        <v>84</v>
      </c>
      <c r="E14">
        <v>2</v>
      </c>
      <c r="F14" t="str">
        <f t="shared" si="0"/>
        <v>2-B</v>
      </c>
      <c r="G14">
        <v>2</v>
      </c>
      <c r="H14" s="2">
        <v>44804</v>
      </c>
      <c r="I14">
        <v>34.661610000000003</v>
      </c>
      <c r="J14">
        <v>77.7593999999999</v>
      </c>
      <c r="K14">
        <v>5303</v>
      </c>
      <c r="L14">
        <v>358</v>
      </c>
      <c r="M14">
        <v>237.09475708007801</v>
      </c>
      <c r="N14">
        <v>13.796408653259199</v>
      </c>
      <c r="O14">
        <v>0.5</v>
      </c>
      <c r="P14">
        <v>0.92789598108747096</v>
      </c>
      <c r="Q14">
        <v>8.8699999999999992</v>
      </c>
      <c r="R14">
        <v>4.3312101910828904</v>
      </c>
      <c r="S14">
        <v>20.127388535032001</v>
      </c>
      <c r="T14">
        <v>1713.2919999999999</v>
      </c>
      <c r="U14">
        <v>0.17</v>
      </c>
      <c r="V14">
        <v>763.68100000000004</v>
      </c>
      <c r="W14">
        <v>0.08</v>
      </c>
      <c r="X14">
        <v>1.47399377564339E-2</v>
      </c>
      <c r="Y14">
        <v>0.28108546164451698</v>
      </c>
      <c r="Z14">
        <v>8.2441415170094998E-2</v>
      </c>
      <c r="AA14">
        <v>5.8921103084665303</v>
      </c>
      <c r="AB14">
        <v>1</v>
      </c>
      <c r="AC14" t="s">
        <v>136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1</v>
      </c>
      <c r="AK14">
        <v>7</v>
      </c>
      <c r="CD14">
        <v>10</v>
      </c>
      <c r="CG14">
        <f>SUM(AP14+AQ14+AR14+AX14+AY14+BA14+BB14+BJ14+CB14)</f>
        <v>0</v>
      </c>
      <c r="CH14">
        <f t="shared" si="2"/>
        <v>10</v>
      </c>
      <c r="CI14">
        <v>4</v>
      </c>
      <c r="CJ14">
        <v>5.5</v>
      </c>
      <c r="CL14">
        <v>0.1</v>
      </c>
      <c r="CO14">
        <v>0.5</v>
      </c>
      <c r="CP14">
        <v>0.1</v>
      </c>
      <c r="CR14">
        <f t="shared" si="1"/>
        <v>0.7</v>
      </c>
      <c r="CS14">
        <v>80</v>
      </c>
      <c r="CT14">
        <v>0</v>
      </c>
    </row>
    <row r="15" spans="1:98" x14ac:dyDescent="0.35">
      <c r="A15" t="s">
        <v>95</v>
      </c>
      <c r="B15" t="s">
        <v>79</v>
      </c>
      <c r="C15">
        <v>2</v>
      </c>
      <c r="D15" t="s">
        <v>84</v>
      </c>
      <c r="E15">
        <v>2</v>
      </c>
      <c r="F15" t="str">
        <f t="shared" si="0"/>
        <v>2-B</v>
      </c>
      <c r="G15">
        <v>2</v>
      </c>
      <c r="H15" s="2">
        <v>44804</v>
      </c>
      <c r="I15">
        <v>34.661740000000002</v>
      </c>
      <c r="J15">
        <v>77.758880000000005</v>
      </c>
      <c r="K15">
        <v>5291</v>
      </c>
      <c r="L15">
        <v>394</v>
      </c>
      <c r="M15">
        <v>255.14138793945301</v>
      </c>
      <c r="N15">
        <v>11.5812864303588</v>
      </c>
      <c r="O15">
        <v>-1.5</v>
      </c>
      <c r="P15">
        <v>0.87592008412197797</v>
      </c>
      <c r="Q15">
        <v>8.27</v>
      </c>
      <c r="R15">
        <v>12.484993997598901</v>
      </c>
      <c r="S15">
        <v>6.9627851140455999</v>
      </c>
      <c r="T15">
        <v>2806.7869999999998</v>
      </c>
      <c r="U15">
        <v>0.28000000000000003</v>
      </c>
      <c r="V15">
        <v>774.29600000000005</v>
      </c>
      <c r="W15">
        <v>0.08</v>
      </c>
      <c r="X15">
        <v>1.14340968619401E-2</v>
      </c>
      <c r="Y15">
        <v>0.24404895579446201</v>
      </c>
      <c r="Z15">
        <v>8.4054265277707499E-2</v>
      </c>
      <c r="AA15">
        <v>5.5132740142120902</v>
      </c>
      <c r="AB15">
        <v>1</v>
      </c>
      <c r="AC15" t="s">
        <v>137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7</v>
      </c>
      <c r="AP15">
        <v>17.5</v>
      </c>
      <c r="AZ15">
        <v>2</v>
      </c>
      <c r="BO15">
        <v>6.5</v>
      </c>
      <c r="BT15">
        <v>5.4</v>
      </c>
      <c r="BV15">
        <v>20</v>
      </c>
      <c r="CF15">
        <v>4</v>
      </c>
      <c r="CG15">
        <f>SUM(AP15+AQ15+AR15+AX15+AY15+BA15+BB15+BJ15+CB15)</f>
        <v>17.5</v>
      </c>
      <c r="CH15">
        <f t="shared" si="2"/>
        <v>37.9</v>
      </c>
      <c r="CI15">
        <v>2</v>
      </c>
      <c r="CJ15">
        <v>3</v>
      </c>
      <c r="CK15">
        <v>0.1</v>
      </c>
      <c r="CR15">
        <f t="shared" si="1"/>
        <v>0.1</v>
      </c>
      <c r="CS15">
        <v>3</v>
      </c>
      <c r="CT15">
        <f>100-(CS15+CR15+CJ15+CI15+CH15+CG15)</f>
        <v>36.5</v>
      </c>
    </row>
    <row r="16" spans="1:98" x14ac:dyDescent="0.35">
      <c r="A16" t="s">
        <v>96</v>
      </c>
      <c r="B16" t="s">
        <v>79</v>
      </c>
      <c r="C16">
        <v>2</v>
      </c>
      <c r="D16" t="s">
        <v>84</v>
      </c>
      <c r="E16">
        <v>2</v>
      </c>
      <c r="F16" t="str">
        <f t="shared" si="0"/>
        <v>2-B</v>
      </c>
      <c r="G16">
        <v>2</v>
      </c>
      <c r="H16" s="2">
        <v>44804</v>
      </c>
      <c r="I16">
        <v>34.66187</v>
      </c>
      <c r="J16">
        <v>77.758160000000004</v>
      </c>
      <c r="K16">
        <v>5280</v>
      </c>
      <c r="L16">
        <v>461</v>
      </c>
      <c r="M16">
        <v>297.25531005859301</v>
      </c>
      <c r="N16">
        <v>8.5341081619262695</v>
      </c>
      <c r="O16">
        <v>0.625</v>
      </c>
      <c r="P16">
        <v>0.92848020434227396</v>
      </c>
      <c r="Q16">
        <v>8.66</v>
      </c>
      <c r="R16">
        <v>5.9147180192573598</v>
      </c>
      <c r="S16">
        <v>4.8143053645117098</v>
      </c>
      <c r="T16">
        <v>2487.3090000000002</v>
      </c>
      <c r="U16">
        <v>0.25</v>
      </c>
      <c r="V16">
        <v>790.53099999999995</v>
      </c>
      <c r="W16">
        <v>0.08</v>
      </c>
      <c r="X16">
        <v>1.53707283964724E-2</v>
      </c>
      <c r="Y16">
        <v>0.28923926242631498</v>
      </c>
      <c r="Z16">
        <v>0.102319698182282</v>
      </c>
      <c r="AA16">
        <v>6.2609200539710104</v>
      </c>
      <c r="AB16">
        <v>0</v>
      </c>
      <c r="AC16" t="s">
        <v>138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0</v>
      </c>
      <c r="AK16">
        <v>9</v>
      </c>
      <c r="AP16">
        <v>8.5</v>
      </c>
      <c r="AR16">
        <v>13</v>
      </c>
      <c r="AZ16">
        <v>1</v>
      </c>
      <c r="BB16">
        <v>15</v>
      </c>
      <c r="BC16">
        <v>2.5</v>
      </c>
      <c r="BE16">
        <v>2</v>
      </c>
      <c r="BJ16">
        <v>0.1</v>
      </c>
      <c r="BV16">
        <v>4.5</v>
      </c>
      <c r="CG16">
        <f>SUM(AP16+AQ16+AR16+AX16+AY16+BA16+BB16+BJ16+CB16)</f>
        <v>36.6</v>
      </c>
      <c r="CH16">
        <f t="shared" si="2"/>
        <v>10</v>
      </c>
      <c r="CI16">
        <v>3.5</v>
      </c>
      <c r="CJ16">
        <v>15</v>
      </c>
      <c r="CL16">
        <v>1</v>
      </c>
      <c r="CM16">
        <v>1.5</v>
      </c>
      <c r="CO16">
        <v>4</v>
      </c>
      <c r="CR16">
        <f t="shared" si="1"/>
        <v>6.5</v>
      </c>
      <c r="CS16">
        <v>8</v>
      </c>
      <c r="CT16">
        <f>100-(CS16+CR16+CJ16+CI16+CH16+CG16)</f>
        <v>20.400000000000006</v>
      </c>
    </row>
    <row r="17" spans="1:98" x14ac:dyDescent="0.35">
      <c r="A17" t="s">
        <v>97</v>
      </c>
      <c r="B17" t="s">
        <v>79</v>
      </c>
      <c r="C17">
        <v>2</v>
      </c>
      <c r="D17" t="s">
        <v>88</v>
      </c>
      <c r="E17">
        <v>3</v>
      </c>
      <c r="F17" t="str">
        <f t="shared" si="0"/>
        <v>2-C</v>
      </c>
      <c r="G17">
        <v>3</v>
      </c>
      <c r="H17" s="2">
        <v>44804</v>
      </c>
      <c r="I17">
        <v>34.661990000000003</v>
      </c>
      <c r="J17">
        <v>77.756969999999896</v>
      </c>
      <c r="K17">
        <v>5261</v>
      </c>
      <c r="L17">
        <v>569</v>
      </c>
      <c r="M17">
        <v>308.1572265625</v>
      </c>
      <c r="N17">
        <v>16.060663223266602</v>
      </c>
      <c r="O17">
        <v>-0.25</v>
      </c>
      <c r="P17">
        <v>0.90659340659340704</v>
      </c>
      <c r="Q17">
        <v>8.6999999999999993</v>
      </c>
      <c r="R17">
        <v>11.1688311688313</v>
      </c>
      <c r="S17">
        <v>10.7359307359306</v>
      </c>
      <c r="T17">
        <v>3064.511</v>
      </c>
      <c r="U17">
        <v>0.31</v>
      </c>
      <c r="V17">
        <v>723.42100000000005</v>
      </c>
      <c r="W17">
        <v>7.0000000000000007E-2</v>
      </c>
      <c r="X17">
        <v>1.7101605135585399E-2</v>
      </c>
      <c r="Y17">
        <v>0.51102876296055899</v>
      </c>
      <c r="Z17">
        <v>0.129736353945824</v>
      </c>
      <c r="AA17">
        <v>6.7486731760071699</v>
      </c>
      <c r="AB17">
        <v>0</v>
      </c>
      <c r="AC17" t="s">
        <v>139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9</v>
      </c>
      <c r="AM17">
        <v>2</v>
      </c>
      <c r="AN17">
        <v>2.5</v>
      </c>
      <c r="AP17">
        <v>35</v>
      </c>
      <c r="AZ17">
        <v>0.5</v>
      </c>
      <c r="BC17">
        <v>3</v>
      </c>
      <c r="BD17">
        <v>5</v>
      </c>
      <c r="BH17">
        <v>3.5</v>
      </c>
      <c r="BL17">
        <v>6</v>
      </c>
      <c r="BV17">
        <v>8</v>
      </c>
      <c r="BZ17">
        <v>0.1</v>
      </c>
      <c r="CF17">
        <v>1</v>
      </c>
      <c r="CG17">
        <f>SUM(AP17+AQ17+AR17+AX17+AY17+BA17+BB17+BJ17+CB17)</f>
        <v>35</v>
      </c>
      <c r="CH17">
        <f t="shared" si="2"/>
        <v>31.6</v>
      </c>
      <c r="CI17">
        <v>0.5</v>
      </c>
      <c r="CJ17">
        <v>4</v>
      </c>
      <c r="CL17">
        <v>1.5</v>
      </c>
      <c r="CO17">
        <v>2.5</v>
      </c>
      <c r="CP17">
        <v>0.5</v>
      </c>
      <c r="CR17">
        <f t="shared" si="1"/>
        <v>4.5</v>
      </c>
      <c r="CS17">
        <v>6</v>
      </c>
      <c r="CT17">
        <f>100-(CS17+CR17+CJ17+CI17+CH17+CG17)</f>
        <v>18.400000000000006</v>
      </c>
    </row>
    <row r="18" spans="1:98" x14ac:dyDescent="0.35">
      <c r="A18" t="s">
        <v>98</v>
      </c>
      <c r="B18" t="s">
        <v>79</v>
      </c>
      <c r="C18">
        <v>2</v>
      </c>
      <c r="D18" t="s">
        <v>88</v>
      </c>
      <c r="E18">
        <v>3</v>
      </c>
      <c r="F18" t="str">
        <f t="shared" si="0"/>
        <v>2-C</v>
      </c>
      <c r="G18">
        <v>3</v>
      </c>
      <c r="H18" s="2">
        <v>44804</v>
      </c>
      <c r="I18">
        <v>34.66133</v>
      </c>
      <c r="J18">
        <v>77.756240000000005</v>
      </c>
      <c r="K18">
        <v>5247</v>
      </c>
      <c r="L18">
        <v>635</v>
      </c>
      <c r="M18">
        <v>290.43283081054602</v>
      </c>
      <c r="N18">
        <v>12.4076719284057</v>
      </c>
      <c r="O18">
        <v>0.125</v>
      </c>
      <c r="P18">
        <v>0.79213483146067398</v>
      </c>
      <c r="Q18">
        <v>8.39</v>
      </c>
      <c r="R18">
        <v>12.056737588652499</v>
      </c>
      <c r="S18">
        <v>2.83687943262417</v>
      </c>
      <c r="T18">
        <v>4649.2839999999997</v>
      </c>
      <c r="U18">
        <v>0.46</v>
      </c>
      <c r="V18">
        <v>596.23699999999997</v>
      </c>
      <c r="W18">
        <v>0.06</v>
      </c>
      <c r="X18">
        <v>1.5713044932187399E-2</v>
      </c>
      <c r="Y18">
        <v>0.41382278873403699</v>
      </c>
      <c r="Z18">
        <v>0.105810939451982</v>
      </c>
      <c r="AA18">
        <v>7.5974753912260997</v>
      </c>
      <c r="AB18">
        <v>0</v>
      </c>
      <c r="AC18" t="s">
        <v>140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8</v>
      </c>
      <c r="AN18">
        <v>14</v>
      </c>
      <c r="AO18">
        <v>13</v>
      </c>
      <c r="AR18">
        <v>17</v>
      </c>
      <c r="BB18">
        <v>8</v>
      </c>
      <c r="BC18">
        <v>1</v>
      </c>
      <c r="BG18">
        <v>5</v>
      </c>
      <c r="BO18">
        <v>0.5</v>
      </c>
      <c r="BV18">
        <v>2</v>
      </c>
      <c r="CA18">
        <v>0.5</v>
      </c>
      <c r="CF18">
        <v>7.5</v>
      </c>
      <c r="CG18">
        <f>SUM(AP18+AQ18+AR18+AX18+AY18+BA18+BB18+BJ18+CB18)</f>
        <v>25</v>
      </c>
      <c r="CH18">
        <f t="shared" si="2"/>
        <v>43.5</v>
      </c>
      <c r="CI18">
        <v>3</v>
      </c>
      <c r="CJ18">
        <v>3</v>
      </c>
      <c r="CL18">
        <v>2</v>
      </c>
      <c r="CO18">
        <v>2</v>
      </c>
      <c r="CR18">
        <f t="shared" si="1"/>
        <v>4</v>
      </c>
      <c r="CS18">
        <v>16</v>
      </c>
      <c r="CT18">
        <f>100-(CS18+CR18+CJ18+CI18+CH18+CG18)</f>
        <v>5.5</v>
      </c>
    </row>
    <row r="19" spans="1:98" x14ac:dyDescent="0.35">
      <c r="A19" t="s">
        <v>99</v>
      </c>
      <c r="B19" t="s">
        <v>79</v>
      </c>
      <c r="C19">
        <v>2</v>
      </c>
      <c r="D19" t="s">
        <v>88</v>
      </c>
      <c r="E19">
        <v>3</v>
      </c>
      <c r="F19" t="str">
        <f t="shared" si="0"/>
        <v>2-C</v>
      </c>
      <c r="G19">
        <v>3</v>
      </c>
      <c r="H19" s="2">
        <v>44804</v>
      </c>
      <c r="I19">
        <v>34.661110000000001</v>
      </c>
      <c r="J19">
        <v>77.755139999999898</v>
      </c>
      <c r="K19">
        <v>5236</v>
      </c>
      <c r="L19">
        <v>737</v>
      </c>
      <c r="M19">
        <v>332.65011596679602</v>
      </c>
      <c r="N19">
        <v>7.51861143112182</v>
      </c>
      <c r="O19">
        <v>1</v>
      </c>
      <c r="P19">
        <v>0.95344129554655699</v>
      </c>
      <c r="Q19">
        <v>9.0500000000000007</v>
      </c>
      <c r="R19">
        <v>4.95399858457173</v>
      </c>
      <c r="S19">
        <v>7.6433121019108796</v>
      </c>
      <c r="T19">
        <v>1835.509</v>
      </c>
      <c r="U19">
        <v>0.18</v>
      </c>
      <c r="V19">
        <v>713.92</v>
      </c>
      <c r="W19">
        <v>7.0000000000000007E-2</v>
      </c>
      <c r="X19">
        <v>2.1160240213461998E-2</v>
      </c>
      <c r="Y19">
        <v>0.41475834024860597</v>
      </c>
      <c r="Z19">
        <v>0.118326400736982</v>
      </c>
      <c r="AA19">
        <v>6.1925686319813602</v>
      </c>
      <c r="AB19">
        <v>1</v>
      </c>
      <c r="AC19" t="s">
        <v>141</v>
      </c>
      <c r="AD19">
        <v>1</v>
      </c>
      <c r="AE19">
        <v>1</v>
      </c>
      <c r="AF19">
        <v>0</v>
      </c>
      <c r="AG19">
        <v>1</v>
      </c>
      <c r="AH19">
        <v>1</v>
      </c>
      <c r="AI19">
        <v>1</v>
      </c>
      <c r="AJ19">
        <v>1</v>
      </c>
      <c r="AK19">
        <v>7</v>
      </c>
      <c r="AR19">
        <v>12</v>
      </c>
      <c r="AU19">
        <v>0.1</v>
      </c>
      <c r="AY19">
        <v>40</v>
      </c>
      <c r="AZ19">
        <v>5</v>
      </c>
      <c r="BB19">
        <v>3</v>
      </c>
      <c r="BC19">
        <v>0.5</v>
      </c>
      <c r="BD19">
        <v>2.5</v>
      </c>
      <c r="BH19">
        <v>33</v>
      </c>
      <c r="BJ19">
        <v>5</v>
      </c>
      <c r="BV19">
        <v>15</v>
      </c>
      <c r="CA19">
        <v>0.5</v>
      </c>
      <c r="CG19">
        <f>SUM(AP19+AQ19+AR19+AX19+AY19+BA19+BB19+BJ19+CB19)</f>
        <v>60</v>
      </c>
      <c r="CH19">
        <f t="shared" si="2"/>
        <v>56.6</v>
      </c>
      <c r="CI19">
        <v>1.5</v>
      </c>
      <c r="CJ19">
        <v>2</v>
      </c>
      <c r="CM19">
        <v>0.1</v>
      </c>
      <c r="CR19">
        <f t="shared" si="1"/>
        <v>0.1</v>
      </c>
      <c r="CS19">
        <v>15</v>
      </c>
      <c r="CT19">
        <v>0</v>
      </c>
    </row>
    <row r="20" spans="1:98" x14ac:dyDescent="0.35">
      <c r="A20" t="s">
        <v>100</v>
      </c>
      <c r="B20" t="s">
        <v>79</v>
      </c>
      <c r="C20">
        <v>3</v>
      </c>
      <c r="D20" t="s">
        <v>80</v>
      </c>
      <c r="E20">
        <v>1</v>
      </c>
      <c r="F20" t="str">
        <f t="shared" si="0"/>
        <v>3-A</v>
      </c>
      <c r="G20">
        <v>1</v>
      </c>
      <c r="H20" s="2">
        <v>44804</v>
      </c>
      <c r="I20">
        <v>34.652900000000002</v>
      </c>
      <c r="J20">
        <v>77.745059999999896</v>
      </c>
      <c r="K20">
        <v>5141</v>
      </c>
      <c r="L20">
        <v>40</v>
      </c>
      <c r="M20">
        <v>253.61045837402301</v>
      </c>
      <c r="N20">
        <v>4.09718561172485</v>
      </c>
      <c r="O20">
        <v>-3.125</v>
      </c>
      <c r="P20">
        <v>0.97676496872207297</v>
      </c>
      <c r="Q20">
        <v>8.65</v>
      </c>
      <c r="R20">
        <v>0.45745654162861699</v>
      </c>
      <c r="S20">
        <v>0.823421774931413</v>
      </c>
      <c r="T20">
        <v>182.31</v>
      </c>
      <c r="U20">
        <v>0.02</v>
      </c>
      <c r="V20">
        <v>760.33399999999995</v>
      </c>
      <c r="W20">
        <v>0.08</v>
      </c>
      <c r="X20">
        <v>1.7284405159833999E-2</v>
      </c>
      <c r="Y20">
        <v>0.50207461622317495</v>
      </c>
      <c r="Z20">
        <v>6.4162834718558201E-2</v>
      </c>
      <c r="AA20">
        <v>1.84417071892615</v>
      </c>
      <c r="AB20">
        <v>1</v>
      </c>
      <c r="AC20" t="s">
        <v>142</v>
      </c>
      <c r="AD20">
        <v>0</v>
      </c>
      <c r="AE20">
        <v>1</v>
      </c>
      <c r="AF20">
        <v>0</v>
      </c>
      <c r="AG20">
        <v>1</v>
      </c>
      <c r="AH20">
        <v>1</v>
      </c>
      <c r="AI20">
        <v>1</v>
      </c>
      <c r="AJ20">
        <v>1</v>
      </c>
      <c r="AK20">
        <v>6</v>
      </c>
      <c r="AQ20">
        <v>17</v>
      </c>
      <c r="AU20">
        <v>1</v>
      </c>
      <c r="AV20">
        <v>1.5</v>
      </c>
      <c r="CG20">
        <f>SUM(AP20+AQ20+AR20+AX20+AY20+BA20+BB20+BJ20+CB20)</f>
        <v>17</v>
      </c>
      <c r="CH20">
        <f t="shared" si="2"/>
        <v>2.5</v>
      </c>
      <c r="CI20">
        <v>0.7</v>
      </c>
      <c r="CJ20">
        <v>80</v>
      </c>
      <c r="CR20">
        <f t="shared" si="1"/>
        <v>0</v>
      </c>
      <c r="CS20">
        <v>0</v>
      </c>
      <c r="CT20">
        <v>0</v>
      </c>
    </row>
    <row r="21" spans="1:98" x14ac:dyDescent="0.35">
      <c r="A21" t="s">
        <v>101</v>
      </c>
      <c r="B21" t="s">
        <v>79</v>
      </c>
      <c r="C21">
        <v>3</v>
      </c>
      <c r="D21" t="s">
        <v>80</v>
      </c>
      <c r="E21">
        <v>1</v>
      </c>
      <c r="F21" t="str">
        <f t="shared" si="0"/>
        <v>3-A</v>
      </c>
      <c r="G21">
        <v>1</v>
      </c>
      <c r="H21" s="2">
        <v>44804</v>
      </c>
      <c r="I21">
        <v>34.653030000000001</v>
      </c>
      <c r="J21">
        <v>77.743160000000003</v>
      </c>
      <c r="K21">
        <v>5147</v>
      </c>
      <c r="L21">
        <v>214</v>
      </c>
      <c r="M21">
        <v>191.30993652343699</v>
      </c>
      <c r="N21">
        <v>4.7133250236511204</v>
      </c>
      <c r="O21">
        <v>0.125</v>
      </c>
      <c r="P21">
        <v>0.99120050282840899</v>
      </c>
      <c r="Q21">
        <v>8.8800000000000008</v>
      </c>
      <c r="R21">
        <v>0.69752694990483399</v>
      </c>
      <c r="S21">
        <v>45.656309448319597</v>
      </c>
      <c r="T21">
        <v>406.63</v>
      </c>
      <c r="U21">
        <v>0.04</v>
      </c>
      <c r="V21">
        <v>739.73199999999997</v>
      </c>
      <c r="W21">
        <v>7.0000000000000007E-2</v>
      </c>
      <c r="X21">
        <v>1.31187797479547E-2</v>
      </c>
      <c r="Y21">
        <v>0.14332439650257101</v>
      </c>
      <c r="Z21">
        <v>0.104764422255388</v>
      </c>
      <c r="AA21">
        <v>4.6600983595886598</v>
      </c>
      <c r="AB21">
        <v>0</v>
      </c>
      <c r="AC21" t="s">
        <v>143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8</v>
      </c>
      <c r="AQ21">
        <v>11</v>
      </c>
      <c r="AU21">
        <v>0.1</v>
      </c>
      <c r="BN21">
        <v>1.5</v>
      </c>
      <c r="BO21">
        <v>2</v>
      </c>
      <c r="BW21">
        <v>2.5</v>
      </c>
      <c r="CC21">
        <v>8</v>
      </c>
      <c r="CG21">
        <f>SUM(AP21+AQ21+AR21+AX21+AY21+BA21+BB21+BJ21+CB21)</f>
        <v>11</v>
      </c>
      <c r="CH21">
        <f t="shared" si="2"/>
        <v>14.1</v>
      </c>
      <c r="CI21">
        <v>0.7</v>
      </c>
      <c r="CJ21">
        <v>10</v>
      </c>
      <c r="CO21">
        <v>3.5</v>
      </c>
      <c r="CQ21">
        <v>1</v>
      </c>
      <c r="CR21">
        <f t="shared" si="1"/>
        <v>4.5</v>
      </c>
      <c r="CS21">
        <v>60</v>
      </c>
      <c r="CT21">
        <v>0</v>
      </c>
    </row>
    <row r="22" spans="1:98" x14ac:dyDescent="0.35">
      <c r="A22" t="s">
        <v>102</v>
      </c>
      <c r="B22" t="s">
        <v>79</v>
      </c>
      <c r="C22">
        <v>3</v>
      </c>
      <c r="D22" t="s">
        <v>80</v>
      </c>
      <c r="E22">
        <v>1</v>
      </c>
      <c r="F22" t="str">
        <f t="shared" si="0"/>
        <v>3-A</v>
      </c>
      <c r="G22">
        <v>1</v>
      </c>
      <c r="H22" s="2">
        <v>44804</v>
      </c>
      <c r="I22">
        <v>34.6528899999999</v>
      </c>
      <c r="J22">
        <v>77.742069999999899</v>
      </c>
      <c r="K22">
        <v>5139</v>
      </c>
      <c r="L22">
        <v>314</v>
      </c>
      <c r="M22">
        <v>230.19442749023401</v>
      </c>
      <c r="N22">
        <v>7.1977014541625897</v>
      </c>
      <c r="O22">
        <v>-0.625</v>
      </c>
      <c r="P22">
        <v>0.99578947368421</v>
      </c>
      <c r="Q22">
        <v>9.6</v>
      </c>
      <c r="R22">
        <v>0.42283298097253202</v>
      </c>
      <c r="S22">
        <v>42.917547568710297</v>
      </c>
      <c r="T22">
        <v>89.549000000000007</v>
      </c>
      <c r="U22">
        <v>0.01</v>
      </c>
      <c r="V22">
        <v>620.48800000000006</v>
      </c>
      <c r="W22">
        <v>0.06</v>
      </c>
      <c r="X22">
        <v>3.1939113392302598E-2</v>
      </c>
      <c r="Y22">
        <v>0.178374463875452</v>
      </c>
      <c r="Z22">
        <v>7.4719256936821701E-2</v>
      </c>
      <c r="AA22">
        <v>1.6560591637294699</v>
      </c>
      <c r="AB22">
        <v>0</v>
      </c>
      <c r="AC22" t="s">
        <v>144</v>
      </c>
      <c r="AD22">
        <v>0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6</v>
      </c>
      <c r="AQ22">
        <v>10</v>
      </c>
      <c r="BF22">
        <v>4</v>
      </c>
      <c r="BW22">
        <v>1.5</v>
      </c>
      <c r="CG22">
        <f>SUM(AP22+AQ22+AR22+AX22+AY22+BA22+BB22+BJ22+CB22)</f>
        <v>10</v>
      </c>
      <c r="CH22">
        <f t="shared" si="2"/>
        <v>5.5</v>
      </c>
      <c r="CI22">
        <v>0</v>
      </c>
      <c r="CJ22">
        <v>10</v>
      </c>
      <c r="CO22">
        <v>1</v>
      </c>
      <c r="CR22">
        <f t="shared" si="1"/>
        <v>1</v>
      </c>
      <c r="CS22">
        <v>70</v>
      </c>
      <c r="CT22">
        <f>100-(CS22+CR22+CJ22+CI22+CH22+CG22)</f>
        <v>3.5</v>
      </c>
    </row>
    <row r="23" spans="1:98" x14ac:dyDescent="0.35">
      <c r="A23" t="s">
        <v>103</v>
      </c>
      <c r="B23" t="s">
        <v>79</v>
      </c>
      <c r="C23">
        <v>3</v>
      </c>
      <c r="D23" t="s">
        <v>84</v>
      </c>
      <c r="E23">
        <v>2</v>
      </c>
      <c r="F23" t="str">
        <f t="shared" si="0"/>
        <v>3-B</v>
      </c>
      <c r="G23">
        <v>2</v>
      </c>
      <c r="H23" s="2">
        <v>44804</v>
      </c>
      <c r="I23">
        <v>34.65343</v>
      </c>
      <c r="J23">
        <v>77.741780000000006</v>
      </c>
      <c r="K23">
        <v>5136</v>
      </c>
      <c r="L23">
        <v>348</v>
      </c>
      <c r="M23">
        <v>255.69972229003901</v>
      </c>
      <c r="N23">
        <v>12.0108623504638</v>
      </c>
      <c r="O23">
        <v>0.875</v>
      </c>
      <c r="P23">
        <v>0.98894557823129303</v>
      </c>
      <c r="Q23">
        <v>9.18</v>
      </c>
      <c r="R23">
        <v>2.23559759243334</v>
      </c>
      <c r="S23">
        <v>34.823731728288998</v>
      </c>
      <c r="T23">
        <v>1155.499</v>
      </c>
      <c r="U23">
        <v>0.12</v>
      </c>
      <c r="V23">
        <v>721.91099999999994</v>
      </c>
      <c r="W23">
        <v>7.0000000000000007E-2</v>
      </c>
      <c r="X23">
        <v>3.3600134481129799E-2</v>
      </c>
      <c r="Y23">
        <v>0.39530107471595699</v>
      </c>
      <c r="Z23">
        <v>0.10982175805752099</v>
      </c>
      <c r="AA23">
        <v>5.9886151349835002</v>
      </c>
      <c r="AB23">
        <v>0</v>
      </c>
      <c r="AC23" t="s">
        <v>145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1</v>
      </c>
      <c r="AK23">
        <v>8</v>
      </c>
      <c r="AM23">
        <v>2</v>
      </c>
      <c r="AP23">
        <v>27</v>
      </c>
      <c r="AS23">
        <v>4</v>
      </c>
      <c r="AZ23">
        <v>2</v>
      </c>
      <c r="BC23">
        <v>4</v>
      </c>
      <c r="BL23">
        <v>1</v>
      </c>
      <c r="BO23">
        <v>3</v>
      </c>
      <c r="BU23">
        <v>0.1</v>
      </c>
      <c r="BV23">
        <v>1</v>
      </c>
      <c r="BW23">
        <v>0.5</v>
      </c>
      <c r="CF23">
        <v>8</v>
      </c>
      <c r="CG23">
        <f>SUM(AP23+AQ23+AR23+AX23+AY23+BA23+BB23+BJ23+CB23)</f>
        <v>27</v>
      </c>
      <c r="CH23">
        <f t="shared" si="2"/>
        <v>25.6</v>
      </c>
      <c r="CI23">
        <v>5</v>
      </c>
      <c r="CJ23">
        <v>19</v>
      </c>
      <c r="CM23">
        <v>2.5</v>
      </c>
      <c r="CO23">
        <v>6.5</v>
      </c>
      <c r="CR23">
        <f t="shared" si="1"/>
        <v>9</v>
      </c>
      <c r="CS23">
        <v>27</v>
      </c>
      <c r="CT23">
        <v>0</v>
      </c>
    </row>
    <row r="24" spans="1:98" x14ac:dyDescent="0.35">
      <c r="A24" t="s">
        <v>104</v>
      </c>
      <c r="B24" t="s">
        <v>79</v>
      </c>
      <c r="C24">
        <v>3</v>
      </c>
      <c r="D24" t="s">
        <v>84</v>
      </c>
      <c r="E24">
        <v>2</v>
      </c>
      <c r="F24" t="str">
        <f t="shared" si="0"/>
        <v>3-B</v>
      </c>
      <c r="G24">
        <v>2</v>
      </c>
      <c r="H24" s="2">
        <v>44804</v>
      </c>
      <c r="I24">
        <v>34.654130000000002</v>
      </c>
      <c r="J24">
        <v>77.740440000000007</v>
      </c>
      <c r="K24">
        <v>5106</v>
      </c>
      <c r="L24">
        <v>483</v>
      </c>
      <c r="M24">
        <v>340.76931762695301</v>
      </c>
      <c r="N24">
        <v>20.2132759094238</v>
      </c>
      <c r="O24">
        <v>2.625</v>
      </c>
      <c r="P24">
        <v>0.98704358068315701</v>
      </c>
      <c r="Q24">
        <v>8.85</v>
      </c>
      <c r="R24">
        <v>1.0143198090691801</v>
      </c>
      <c r="S24">
        <v>31.980906921241001</v>
      </c>
      <c r="T24">
        <v>1036.597</v>
      </c>
      <c r="U24">
        <v>0.1</v>
      </c>
      <c r="V24">
        <v>649.04</v>
      </c>
      <c r="W24">
        <v>0.06</v>
      </c>
      <c r="X24">
        <v>1.0883798285996201E-2</v>
      </c>
      <c r="Y24">
        <v>8.3514612344675707E-2</v>
      </c>
      <c r="Z24">
        <v>8.7061330389802793E-2</v>
      </c>
      <c r="AA24">
        <v>4.4840634581174497</v>
      </c>
      <c r="AB24">
        <v>0</v>
      </c>
      <c r="AC24" t="s">
        <v>146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0</v>
      </c>
      <c r="AK24">
        <v>9</v>
      </c>
      <c r="AP24">
        <v>17</v>
      </c>
      <c r="BC24">
        <v>2</v>
      </c>
      <c r="BJ24">
        <v>4</v>
      </c>
      <c r="BK24">
        <v>2</v>
      </c>
      <c r="BO24">
        <v>7</v>
      </c>
      <c r="CG24">
        <f>SUM(AP24+AQ24+AR24+AX24+AY24+BA24+BB24+BJ24+CB24)</f>
        <v>21</v>
      </c>
      <c r="CH24">
        <f t="shared" si="2"/>
        <v>11</v>
      </c>
      <c r="CI24">
        <v>3.5</v>
      </c>
      <c r="CJ24">
        <v>27</v>
      </c>
      <c r="CL24">
        <v>3</v>
      </c>
      <c r="CM24">
        <v>0.5</v>
      </c>
      <c r="CO24">
        <v>20</v>
      </c>
      <c r="CR24">
        <f t="shared" si="1"/>
        <v>23.5</v>
      </c>
      <c r="CS24">
        <v>34</v>
      </c>
      <c r="CT24">
        <v>0</v>
      </c>
    </row>
    <row r="25" spans="1:98" x14ac:dyDescent="0.35">
      <c r="A25" t="s">
        <v>105</v>
      </c>
      <c r="B25" t="s">
        <v>79</v>
      </c>
      <c r="C25">
        <v>3</v>
      </c>
      <c r="D25" t="s">
        <v>84</v>
      </c>
      <c r="E25">
        <v>2</v>
      </c>
      <c r="F25" t="str">
        <f t="shared" si="0"/>
        <v>3-B</v>
      </c>
      <c r="G25">
        <v>2</v>
      </c>
      <c r="H25" s="2">
        <v>44804</v>
      </c>
      <c r="I25">
        <v>34.654800000000002</v>
      </c>
      <c r="J25">
        <v>77.740080000000006</v>
      </c>
      <c r="K25">
        <v>5081</v>
      </c>
      <c r="L25">
        <v>542</v>
      </c>
      <c r="M25">
        <v>353.92755126953102</v>
      </c>
      <c r="N25">
        <v>20.913345336913999</v>
      </c>
      <c r="O25">
        <v>1.875</v>
      </c>
      <c r="P25">
        <v>0.98487972508591004</v>
      </c>
      <c r="Q25">
        <v>9.1300000000000008</v>
      </c>
      <c r="R25">
        <v>2.5122121423586599</v>
      </c>
      <c r="S25">
        <v>16.050244242847199</v>
      </c>
      <c r="T25">
        <v>1536.5050000000001</v>
      </c>
      <c r="U25">
        <v>0.15</v>
      </c>
      <c r="V25">
        <v>748.63199999999995</v>
      </c>
      <c r="W25">
        <v>7.0000000000000007E-2</v>
      </c>
      <c r="X25">
        <v>1.43646814026711E-2</v>
      </c>
      <c r="Y25">
        <v>0.21677395157986101</v>
      </c>
      <c r="Z25">
        <v>0.137657961405939</v>
      </c>
      <c r="AA25">
        <v>5.7047674442017202</v>
      </c>
      <c r="AB25">
        <v>0</v>
      </c>
      <c r="AC25" t="s">
        <v>147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8</v>
      </c>
      <c r="AM25">
        <v>7</v>
      </c>
      <c r="AN25">
        <v>5</v>
      </c>
      <c r="AP25">
        <v>15</v>
      </c>
      <c r="AY25">
        <v>10</v>
      </c>
      <c r="BC25">
        <v>16</v>
      </c>
      <c r="BH25">
        <v>5</v>
      </c>
      <c r="BL25">
        <v>3</v>
      </c>
      <c r="BO25">
        <v>2</v>
      </c>
      <c r="BW25">
        <v>5</v>
      </c>
      <c r="BY25">
        <v>6.5</v>
      </c>
      <c r="CG25">
        <f>SUM(AP25+AQ25+AR25+AX25+AY25+BA25+BB25+BJ25+CB25)</f>
        <v>25</v>
      </c>
      <c r="CH25">
        <f t="shared" si="2"/>
        <v>49.5</v>
      </c>
      <c r="CI25">
        <v>5</v>
      </c>
      <c r="CJ25">
        <v>27</v>
      </c>
      <c r="CM25">
        <v>1</v>
      </c>
      <c r="CO25">
        <v>2.5</v>
      </c>
      <c r="CR25">
        <f t="shared" si="1"/>
        <v>3.5</v>
      </c>
      <c r="CS25">
        <v>5</v>
      </c>
      <c r="CT25">
        <v>0</v>
      </c>
    </row>
    <row r="26" spans="1:98" x14ac:dyDescent="0.35">
      <c r="A26" t="s">
        <v>106</v>
      </c>
      <c r="B26" t="s">
        <v>79</v>
      </c>
      <c r="C26">
        <v>3</v>
      </c>
      <c r="D26" t="s">
        <v>88</v>
      </c>
      <c r="E26">
        <v>3</v>
      </c>
      <c r="F26" t="str">
        <f t="shared" si="0"/>
        <v>3-C</v>
      </c>
      <c r="G26">
        <v>3</v>
      </c>
      <c r="H26" s="2">
        <v>44804</v>
      </c>
      <c r="I26">
        <v>34.655700000000003</v>
      </c>
      <c r="J26">
        <v>77.739410000000007</v>
      </c>
      <c r="K26">
        <v>5031</v>
      </c>
      <c r="L26">
        <v>644</v>
      </c>
      <c r="M26">
        <v>279.68878173828102</v>
      </c>
      <c r="N26">
        <v>9.54424953460693</v>
      </c>
      <c r="O26">
        <v>-0.875</v>
      </c>
      <c r="P26">
        <v>0.98661233993015196</v>
      </c>
      <c r="Q26">
        <v>8.6999999999999993</v>
      </c>
      <c r="R26">
        <v>5.3097345132743303</v>
      </c>
      <c r="S26">
        <v>28.554572271386501</v>
      </c>
      <c r="T26">
        <v>2988.2139999999999</v>
      </c>
      <c r="U26">
        <v>0.3</v>
      </c>
      <c r="V26">
        <v>903.577</v>
      </c>
      <c r="W26">
        <v>0.09</v>
      </c>
      <c r="X26">
        <v>1.08873614754507E-2</v>
      </c>
      <c r="Y26">
        <v>0.223099633869041</v>
      </c>
      <c r="Z26">
        <v>0.21697896365309899</v>
      </c>
      <c r="AA26">
        <v>5.68837617563437</v>
      </c>
      <c r="AB26">
        <v>0</v>
      </c>
      <c r="AC26" t="s">
        <v>148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8</v>
      </c>
      <c r="AN26">
        <v>10</v>
      </c>
      <c r="AU26">
        <v>1.5</v>
      </c>
      <c r="AY26">
        <v>3</v>
      </c>
      <c r="BC26">
        <v>10</v>
      </c>
      <c r="BD26">
        <v>2</v>
      </c>
      <c r="BL26">
        <v>26</v>
      </c>
      <c r="CG26">
        <f>SUM(AP26+AQ26+AR26+AX26+AY26+BA26+BB26+BJ26+CB26)</f>
        <v>3</v>
      </c>
      <c r="CH26">
        <f t="shared" si="2"/>
        <v>49.5</v>
      </c>
      <c r="CI26">
        <v>4</v>
      </c>
      <c r="CJ26">
        <v>17</v>
      </c>
      <c r="CO26">
        <v>3</v>
      </c>
      <c r="CR26">
        <f t="shared" si="1"/>
        <v>3</v>
      </c>
      <c r="CS26">
        <v>5</v>
      </c>
      <c r="CT26">
        <f>100-(CS26+CR26+CJ26+CI26+CH26+CG26)</f>
        <v>18.5</v>
      </c>
    </row>
    <row r="27" spans="1:98" x14ac:dyDescent="0.35">
      <c r="A27" t="s">
        <v>107</v>
      </c>
      <c r="B27" t="s">
        <v>79</v>
      </c>
      <c r="C27">
        <v>3</v>
      </c>
      <c r="D27" t="s">
        <v>88</v>
      </c>
      <c r="E27">
        <v>3</v>
      </c>
      <c r="F27" t="str">
        <f t="shared" si="0"/>
        <v>3-C</v>
      </c>
      <c r="G27">
        <v>3</v>
      </c>
      <c r="H27" s="2">
        <v>44804</v>
      </c>
      <c r="I27">
        <v>34.655929999999898</v>
      </c>
      <c r="J27">
        <v>77.738879999999895</v>
      </c>
      <c r="K27">
        <v>5022</v>
      </c>
      <c r="L27">
        <v>701</v>
      </c>
      <c r="M27">
        <v>274.89910888671801</v>
      </c>
      <c r="N27">
        <v>8.0821247100830007</v>
      </c>
      <c r="O27">
        <v>-1.875</v>
      </c>
      <c r="P27">
        <v>0.98633879781420897</v>
      </c>
      <c r="Q27">
        <v>8.44</v>
      </c>
      <c r="R27">
        <v>8.4025854108957603</v>
      </c>
      <c r="S27">
        <v>3.60110803324097</v>
      </c>
      <c r="T27">
        <v>3905.6559999999999</v>
      </c>
      <c r="U27">
        <v>0.39</v>
      </c>
      <c r="V27">
        <v>831.43399999999997</v>
      </c>
      <c r="W27">
        <v>0.08</v>
      </c>
      <c r="X27">
        <v>9.4169720840099908E-3</v>
      </c>
      <c r="Y27">
        <v>0.14591557475748801</v>
      </c>
      <c r="Z27">
        <v>0.148403944928161</v>
      </c>
      <c r="AA27">
        <v>5.1238847656771798</v>
      </c>
      <c r="AB27">
        <v>0</v>
      </c>
      <c r="AC27" t="s">
        <v>149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8</v>
      </c>
      <c r="AN27">
        <v>8</v>
      </c>
      <c r="AP27">
        <v>11</v>
      </c>
      <c r="AU27">
        <v>0.1</v>
      </c>
      <c r="AX27">
        <v>12</v>
      </c>
      <c r="BB27">
        <v>14</v>
      </c>
      <c r="BC27">
        <v>11</v>
      </c>
      <c r="BE27">
        <v>0.5</v>
      </c>
      <c r="BL27">
        <v>12</v>
      </c>
      <c r="CG27">
        <f>SUM(AP27+AQ27+AR27+AX27+AY27+BA27+BB27+BJ27+CB27)</f>
        <v>37</v>
      </c>
      <c r="CH27">
        <f t="shared" si="2"/>
        <v>31.6</v>
      </c>
      <c r="CI27">
        <v>5</v>
      </c>
      <c r="CJ27">
        <v>13</v>
      </c>
      <c r="CO27">
        <v>4</v>
      </c>
      <c r="CP27">
        <v>0.5</v>
      </c>
      <c r="CR27">
        <f t="shared" si="1"/>
        <v>4.5</v>
      </c>
      <c r="CS27">
        <v>14</v>
      </c>
      <c r="CT27">
        <v>0</v>
      </c>
    </row>
    <row r="28" spans="1:98" x14ac:dyDescent="0.35">
      <c r="A28" t="s">
        <v>108</v>
      </c>
      <c r="B28" t="s">
        <v>79</v>
      </c>
      <c r="C28">
        <v>3</v>
      </c>
      <c r="D28" t="s">
        <v>88</v>
      </c>
      <c r="E28">
        <v>3</v>
      </c>
      <c r="F28" t="str">
        <f t="shared" si="0"/>
        <v>3-C</v>
      </c>
      <c r="G28">
        <v>3</v>
      </c>
      <c r="H28" s="2">
        <v>44804</v>
      </c>
      <c r="I28">
        <v>34.65605</v>
      </c>
      <c r="J28">
        <v>77.738529999999898</v>
      </c>
      <c r="K28">
        <v>5020</v>
      </c>
      <c r="L28">
        <v>733</v>
      </c>
      <c r="M28">
        <v>242.10272216796801</v>
      </c>
      <c r="N28">
        <v>4.4462084770202601</v>
      </c>
      <c r="O28">
        <v>-0.625</v>
      </c>
      <c r="P28">
        <v>0.98070739549839203</v>
      </c>
      <c r="Q28">
        <v>8.4499999999999993</v>
      </c>
      <c r="R28">
        <v>7.4316939890710003</v>
      </c>
      <c r="S28">
        <v>16.721311475409699</v>
      </c>
      <c r="T28">
        <v>5544.1530000000002</v>
      </c>
      <c r="U28">
        <v>0.55000000000000004</v>
      </c>
      <c r="V28">
        <v>936.851</v>
      </c>
      <c r="W28">
        <v>0.09</v>
      </c>
      <c r="X28">
        <v>1.7321143734977E-2</v>
      </c>
      <c r="Y28">
        <v>0.34711151258624701</v>
      </c>
      <c r="Z28">
        <v>0.15707496446633801</v>
      </c>
      <c r="AA28">
        <v>6.3824245904365604</v>
      </c>
      <c r="AB28">
        <v>0</v>
      </c>
      <c r="AC28" t="s">
        <v>150</v>
      </c>
      <c r="AD28">
        <v>0</v>
      </c>
      <c r="AE28">
        <v>1</v>
      </c>
      <c r="AF28">
        <v>1</v>
      </c>
      <c r="AG28">
        <v>0</v>
      </c>
      <c r="AH28">
        <v>1</v>
      </c>
      <c r="AI28">
        <v>0</v>
      </c>
      <c r="AJ28">
        <v>1</v>
      </c>
      <c r="AK28">
        <v>7</v>
      </c>
      <c r="AM28">
        <v>3</v>
      </c>
      <c r="AN28">
        <v>10</v>
      </c>
      <c r="AP28">
        <v>17</v>
      </c>
      <c r="AX28">
        <v>7</v>
      </c>
      <c r="BB28">
        <v>16</v>
      </c>
      <c r="BC28">
        <v>14.5</v>
      </c>
      <c r="BD28">
        <v>1</v>
      </c>
      <c r="BH28">
        <v>0.5</v>
      </c>
      <c r="BL28">
        <v>13</v>
      </c>
      <c r="CG28">
        <f>SUM(AP28+AQ28+AR28+AX28+AY28+BA28+BB28+BJ28+CB28)</f>
        <v>40</v>
      </c>
      <c r="CH28">
        <f t="shared" si="2"/>
        <v>42</v>
      </c>
      <c r="CI28">
        <v>5</v>
      </c>
      <c r="CJ28">
        <v>11</v>
      </c>
      <c r="CO28">
        <v>7</v>
      </c>
      <c r="CR28">
        <f t="shared" si="1"/>
        <v>7</v>
      </c>
      <c r="CS28">
        <v>10</v>
      </c>
      <c r="CT28">
        <v>0</v>
      </c>
    </row>
    <row r="29" spans="1:98" x14ac:dyDescent="0.35">
      <c r="A29" t="s">
        <v>109</v>
      </c>
      <c r="B29" t="s">
        <v>110</v>
      </c>
      <c r="C29">
        <v>4</v>
      </c>
      <c r="D29" t="s">
        <v>80</v>
      </c>
      <c r="E29">
        <v>1</v>
      </c>
      <c r="F29" t="str">
        <f t="shared" si="0"/>
        <v>4-A</v>
      </c>
      <c r="G29">
        <v>1</v>
      </c>
      <c r="H29" s="2">
        <v>44797</v>
      </c>
      <c r="I29">
        <v>32.982230000000001</v>
      </c>
      <c r="J29">
        <v>78.435370000000006</v>
      </c>
      <c r="K29">
        <v>5801</v>
      </c>
      <c r="L29">
        <v>52</v>
      </c>
      <c r="M29">
        <v>14.5344543457031</v>
      </c>
      <c r="N29">
        <v>12.708003997802701</v>
      </c>
      <c r="O29">
        <v>1.375</v>
      </c>
      <c r="P29">
        <v>0.99709090909090803</v>
      </c>
      <c r="Q29">
        <v>8.01</v>
      </c>
      <c r="R29">
        <v>0.80233406272788099</v>
      </c>
      <c r="S29">
        <v>41.5754923413567</v>
      </c>
      <c r="T29">
        <v>79.191999999999993</v>
      </c>
      <c r="U29">
        <v>0.01</v>
      </c>
      <c r="V29">
        <v>1498.271</v>
      </c>
      <c r="W29">
        <v>0.15</v>
      </c>
      <c r="X29">
        <v>1.0929757708768801E-2</v>
      </c>
      <c r="Y29">
        <v>3.6949511654756802E-2</v>
      </c>
      <c r="Z29">
        <v>4.1206497836613502E-2</v>
      </c>
      <c r="AA29">
        <v>0.38998080672308499</v>
      </c>
      <c r="AB29">
        <v>1</v>
      </c>
      <c r="AC29" t="s">
        <v>151</v>
      </c>
      <c r="AD29">
        <v>0</v>
      </c>
      <c r="AE29">
        <v>1</v>
      </c>
      <c r="AF29">
        <v>0</v>
      </c>
      <c r="AG29">
        <v>0</v>
      </c>
      <c r="AH29">
        <v>1</v>
      </c>
      <c r="AI29">
        <v>0</v>
      </c>
      <c r="AJ29">
        <v>1</v>
      </c>
      <c r="AK29">
        <v>6</v>
      </c>
      <c r="AU29">
        <v>0.1</v>
      </c>
      <c r="BJ29">
        <v>0.2</v>
      </c>
      <c r="BO29">
        <v>2</v>
      </c>
      <c r="BX29">
        <v>0.5</v>
      </c>
      <c r="CD29">
        <v>4</v>
      </c>
      <c r="CF29">
        <v>1</v>
      </c>
      <c r="CG29">
        <f>SUM(AP29+AQ29+AR29+AX29+AY29+BA29+BB29+BJ29+CB29)</f>
        <v>0.2</v>
      </c>
      <c r="CH29">
        <f t="shared" si="2"/>
        <v>7.6</v>
      </c>
      <c r="CI29">
        <v>0</v>
      </c>
      <c r="CJ29">
        <v>5</v>
      </c>
      <c r="CK29">
        <v>0</v>
      </c>
      <c r="CR29">
        <f t="shared" si="1"/>
        <v>0</v>
      </c>
      <c r="CS29">
        <v>90</v>
      </c>
      <c r="CT29">
        <v>0</v>
      </c>
    </row>
    <row r="30" spans="1:98" x14ac:dyDescent="0.35">
      <c r="A30" t="s">
        <v>111</v>
      </c>
      <c r="B30" t="s">
        <v>110</v>
      </c>
      <c r="C30">
        <v>4</v>
      </c>
      <c r="D30" t="s">
        <v>80</v>
      </c>
      <c r="E30">
        <v>1</v>
      </c>
      <c r="F30" t="str">
        <f t="shared" si="0"/>
        <v>4-A</v>
      </c>
      <c r="G30">
        <v>1</v>
      </c>
      <c r="H30" s="2">
        <v>44797</v>
      </c>
      <c r="I30">
        <v>32.98274</v>
      </c>
      <c r="J30">
        <v>78.4342299999999</v>
      </c>
      <c r="K30">
        <v>5792</v>
      </c>
      <c r="L30">
        <v>170</v>
      </c>
      <c r="M30">
        <v>7.1250152587890598</v>
      </c>
      <c r="N30">
        <v>7.4273915290832502</v>
      </c>
      <c r="O30">
        <v>0</v>
      </c>
      <c r="P30">
        <v>0.99560025141420605</v>
      </c>
      <c r="Q30">
        <v>7.22</v>
      </c>
      <c r="R30">
        <v>0.94696969696973199</v>
      </c>
      <c r="S30">
        <v>47.348484848484802</v>
      </c>
      <c r="T30">
        <v>119.947</v>
      </c>
      <c r="U30">
        <v>0.01</v>
      </c>
      <c r="V30">
        <v>1446.2529999999999</v>
      </c>
      <c r="W30">
        <v>0.14000000000000001</v>
      </c>
      <c r="X30">
        <v>1.08087161534711E-2</v>
      </c>
      <c r="Y30">
        <v>3.9126746504269901E-2</v>
      </c>
      <c r="Z30">
        <v>4.4292723917800203E-2</v>
      </c>
      <c r="AA30">
        <v>0.37739578723390999</v>
      </c>
      <c r="AB30">
        <v>0</v>
      </c>
      <c r="AC30" t="s">
        <v>152</v>
      </c>
      <c r="AD30">
        <v>1</v>
      </c>
      <c r="AE30">
        <v>1</v>
      </c>
      <c r="AF30">
        <v>0</v>
      </c>
      <c r="AG30">
        <v>0</v>
      </c>
      <c r="AH30">
        <v>1</v>
      </c>
      <c r="AI30">
        <v>0</v>
      </c>
      <c r="AJ30">
        <v>1</v>
      </c>
      <c r="AK30">
        <v>6</v>
      </c>
      <c r="BI30">
        <v>0.1</v>
      </c>
      <c r="BX30">
        <v>0.5</v>
      </c>
      <c r="CD30">
        <v>2</v>
      </c>
      <c r="CF30">
        <v>0.5</v>
      </c>
      <c r="CG30">
        <f>SUM(AP30+AQ30+AR30+AX30+AY30+BA30+BB30+BJ30+CB30)</f>
        <v>0</v>
      </c>
      <c r="CH30">
        <f t="shared" si="2"/>
        <v>3.1</v>
      </c>
      <c r="CI30">
        <v>0</v>
      </c>
      <c r="CJ30">
        <v>11</v>
      </c>
      <c r="CR30">
        <f t="shared" si="1"/>
        <v>0</v>
      </c>
      <c r="CS30">
        <v>80</v>
      </c>
      <c r="CT30">
        <f>100-(CS30+CR30+CJ30+CI30+CH30+CG30)</f>
        <v>5.9000000000000057</v>
      </c>
    </row>
    <row r="31" spans="1:98" x14ac:dyDescent="0.35">
      <c r="A31" t="s">
        <v>112</v>
      </c>
      <c r="B31" t="s">
        <v>110</v>
      </c>
      <c r="C31">
        <v>4</v>
      </c>
      <c r="D31" t="s">
        <v>80</v>
      </c>
      <c r="E31">
        <v>1</v>
      </c>
      <c r="F31" t="str">
        <f t="shared" si="0"/>
        <v>4-A</v>
      </c>
      <c r="G31">
        <v>1</v>
      </c>
      <c r="H31" s="2">
        <v>44797</v>
      </c>
      <c r="I31">
        <v>32.983199999999897</v>
      </c>
      <c r="J31">
        <v>78.433700000000002</v>
      </c>
      <c r="K31">
        <v>5783</v>
      </c>
      <c r="L31">
        <v>237</v>
      </c>
      <c r="M31">
        <v>19.093490600585898</v>
      </c>
      <c r="N31">
        <v>12.540820121765099</v>
      </c>
      <c r="O31">
        <v>-1.5</v>
      </c>
      <c r="P31">
        <v>0.98940998487140697</v>
      </c>
      <c r="Q31">
        <v>6.84</v>
      </c>
      <c r="R31">
        <v>1.14678899082573</v>
      </c>
      <c r="S31">
        <v>40.825688073394602</v>
      </c>
      <c r="T31">
        <v>386.38900000000001</v>
      </c>
      <c r="U31">
        <v>0.04</v>
      </c>
      <c r="V31">
        <v>692.56899999999996</v>
      </c>
      <c r="W31">
        <v>7.0000000000000007E-2</v>
      </c>
      <c r="X31">
        <v>1.1512613040095199E-2</v>
      </c>
      <c r="Y31">
        <v>6.3713403439790706E-2</v>
      </c>
      <c r="Z31">
        <v>5.0946059790469199E-2</v>
      </c>
      <c r="AA31">
        <v>0.95261668683355005</v>
      </c>
      <c r="AB31">
        <v>0</v>
      </c>
      <c r="AC31" t="s">
        <v>153</v>
      </c>
      <c r="AD31">
        <v>1</v>
      </c>
      <c r="AE31">
        <v>1</v>
      </c>
      <c r="AF31">
        <v>0</v>
      </c>
      <c r="AG31">
        <v>0</v>
      </c>
      <c r="AH31">
        <v>1</v>
      </c>
      <c r="AI31">
        <v>1</v>
      </c>
      <c r="AJ31">
        <v>1</v>
      </c>
      <c r="AK31">
        <v>6</v>
      </c>
      <c r="AL31">
        <v>0.5</v>
      </c>
      <c r="AT31">
        <v>0.5</v>
      </c>
      <c r="BJ31">
        <v>2.5</v>
      </c>
      <c r="BO31">
        <v>5</v>
      </c>
      <c r="CD31">
        <v>0.1</v>
      </c>
      <c r="CF31">
        <v>15</v>
      </c>
      <c r="CG31">
        <f>SUM(AP31+AQ31+AR31+AX31+AY31+BA31+BB31+BJ31+CB31)</f>
        <v>2.5</v>
      </c>
      <c r="CH31">
        <f t="shared" si="2"/>
        <v>21.1</v>
      </c>
      <c r="CI31">
        <v>0</v>
      </c>
      <c r="CJ31">
        <v>4</v>
      </c>
      <c r="CK31">
        <v>1</v>
      </c>
      <c r="CR31">
        <f t="shared" si="1"/>
        <v>1</v>
      </c>
      <c r="CS31">
        <v>40</v>
      </c>
      <c r="CT31">
        <f>100-(CS31+CR31+CJ31+CI31+CH31+CG31)</f>
        <v>31.400000000000006</v>
      </c>
    </row>
    <row r="32" spans="1:98" x14ac:dyDescent="0.35">
      <c r="A32" t="s">
        <v>113</v>
      </c>
      <c r="B32" t="s">
        <v>110</v>
      </c>
      <c r="C32">
        <v>4</v>
      </c>
      <c r="D32" t="s">
        <v>84</v>
      </c>
      <c r="E32">
        <v>2</v>
      </c>
      <c r="F32" t="str">
        <f t="shared" si="0"/>
        <v>4-B</v>
      </c>
      <c r="G32">
        <v>2</v>
      </c>
      <c r="H32" s="2">
        <v>44797</v>
      </c>
      <c r="I32">
        <v>32.98527</v>
      </c>
      <c r="J32">
        <v>78.430670000000006</v>
      </c>
      <c r="K32">
        <v>5802</v>
      </c>
      <c r="L32">
        <v>604</v>
      </c>
      <c r="M32">
        <v>41.633541107177699</v>
      </c>
      <c r="N32">
        <v>16.281061172485298</v>
      </c>
      <c r="O32">
        <v>-0.625</v>
      </c>
      <c r="P32">
        <v>0.99419026870007299</v>
      </c>
      <c r="Q32">
        <v>6.96</v>
      </c>
      <c r="R32">
        <v>2.5566106647187801</v>
      </c>
      <c r="S32">
        <v>39.444850255661102</v>
      </c>
      <c r="T32">
        <v>2122.4259999999999</v>
      </c>
      <c r="U32">
        <v>0.21</v>
      </c>
      <c r="V32">
        <v>821.15499999999997</v>
      </c>
      <c r="W32">
        <v>0.08</v>
      </c>
      <c r="X32">
        <v>8.7762805093909799E-3</v>
      </c>
      <c r="Y32">
        <v>0.12747141901171499</v>
      </c>
      <c r="Z32">
        <v>0.105449034041546</v>
      </c>
      <c r="AA32">
        <v>2.0997506648684299</v>
      </c>
      <c r="AB32">
        <v>0</v>
      </c>
      <c r="AC32" t="s">
        <v>154</v>
      </c>
      <c r="AD32">
        <v>1</v>
      </c>
      <c r="AE32">
        <v>1</v>
      </c>
      <c r="AF32">
        <v>1</v>
      </c>
      <c r="AG32">
        <v>0</v>
      </c>
      <c r="AH32">
        <v>1</v>
      </c>
      <c r="AI32">
        <v>0</v>
      </c>
      <c r="AJ32">
        <v>1</v>
      </c>
      <c r="AK32">
        <v>6</v>
      </c>
      <c r="AL32">
        <v>1.5</v>
      </c>
      <c r="AU32">
        <v>0.5</v>
      </c>
      <c r="AW32">
        <v>0.5</v>
      </c>
      <c r="BJ32">
        <v>0.5</v>
      </c>
      <c r="BO32">
        <v>2</v>
      </c>
      <c r="BX32">
        <v>0.5</v>
      </c>
      <c r="CF32">
        <v>4</v>
      </c>
      <c r="CG32">
        <f>SUM(AP32+AQ32+AR32+AX32+AY32+BA32+BB32+BJ32+CB32)</f>
        <v>0.5</v>
      </c>
      <c r="CH32">
        <f t="shared" si="2"/>
        <v>9</v>
      </c>
      <c r="CI32">
        <v>0</v>
      </c>
      <c r="CJ32">
        <v>8</v>
      </c>
      <c r="CK32">
        <v>7</v>
      </c>
      <c r="CR32">
        <f t="shared" si="1"/>
        <v>7</v>
      </c>
      <c r="CS32">
        <v>60</v>
      </c>
      <c r="CT32">
        <f>100-(CS32+CR32+CJ32+CI32+CH32+CG32)</f>
        <v>15.5</v>
      </c>
    </row>
    <row r="33" spans="1:98" x14ac:dyDescent="0.35">
      <c r="A33" t="s">
        <v>114</v>
      </c>
      <c r="B33" t="s">
        <v>110</v>
      </c>
      <c r="C33">
        <v>4</v>
      </c>
      <c r="D33" t="s">
        <v>84</v>
      </c>
      <c r="E33">
        <v>2</v>
      </c>
      <c r="F33" t="str">
        <f t="shared" si="0"/>
        <v>4-B</v>
      </c>
      <c r="G33">
        <v>2</v>
      </c>
      <c r="H33" s="2">
        <v>44797</v>
      </c>
      <c r="I33">
        <v>32.985599999999899</v>
      </c>
      <c r="J33">
        <v>78.430049999999895</v>
      </c>
      <c r="K33">
        <v>5805</v>
      </c>
      <c r="L33">
        <v>669</v>
      </c>
      <c r="M33">
        <v>37.568592071533203</v>
      </c>
      <c r="N33">
        <v>14.8529968261718</v>
      </c>
      <c r="O33">
        <v>-0.5</v>
      </c>
      <c r="P33">
        <v>0.99709934735315398</v>
      </c>
      <c r="Q33">
        <v>7.06</v>
      </c>
      <c r="R33">
        <v>3.2727272727271401</v>
      </c>
      <c r="S33">
        <v>39.636363636363697</v>
      </c>
      <c r="T33">
        <v>1856.0409999999999</v>
      </c>
      <c r="U33">
        <v>0.19</v>
      </c>
      <c r="V33">
        <v>769.85500000000002</v>
      </c>
      <c r="W33">
        <v>0.08</v>
      </c>
      <c r="X33">
        <v>9.5779594493036694E-3</v>
      </c>
      <c r="Y33">
        <v>0.13860299677336901</v>
      </c>
      <c r="Z33">
        <v>0.128884822113949</v>
      </c>
      <c r="AA33">
        <v>2.0320966144220098</v>
      </c>
      <c r="AB33">
        <v>0</v>
      </c>
      <c r="AC33" t="s">
        <v>155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0</v>
      </c>
      <c r="AJ33">
        <v>1</v>
      </c>
      <c r="AK33">
        <v>6</v>
      </c>
      <c r="AL33">
        <v>1.5</v>
      </c>
      <c r="AU33">
        <v>0.5</v>
      </c>
      <c r="CF33">
        <v>10</v>
      </c>
      <c r="CG33">
        <f>SUM(AP33+AQ33+AR33+AX33+AY33+BA33+BB33+BJ33+CB33)</f>
        <v>0</v>
      </c>
      <c r="CH33">
        <f t="shared" si="2"/>
        <v>12</v>
      </c>
      <c r="CI33">
        <v>0</v>
      </c>
      <c r="CJ33">
        <v>15</v>
      </c>
      <c r="CK33">
        <v>4.5</v>
      </c>
      <c r="CR33">
        <f t="shared" si="1"/>
        <v>4.5</v>
      </c>
      <c r="CS33">
        <v>50</v>
      </c>
      <c r="CT33">
        <f>100-(CS33+CR33+CJ33+CI33+CH33+CG33)</f>
        <v>18.5</v>
      </c>
    </row>
    <row r="34" spans="1:98" x14ac:dyDescent="0.35">
      <c r="A34" t="s">
        <v>115</v>
      </c>
      <c r="B34" t="s">
        <v>110</v>
      </c>
      <c r="C34">
        <v>4</v>
      </c>
      <c r="D34" t="s">
        <v>84</v>
      </c>
      <c r="E34">
        <v>2</v>
      </c>
      <c r="F34" t="str">
        <f t="shared" si="0"/>
        <v>4-B</v>
      </c>
      <c r="G34">
        <v>2</v>
      </c>
      <c r="H34" s="2">
        <v>44797</v>
      </c>
      <c r="I34">
        <v>32.986370000000001</v>
      </c>
      <c r="J34">
        <v>78.42953</v>
      </c>
      <c r="K34">
        <v>5794</v>
      </c>
      <c r="L34">
        <v>763</v>
      </c>
      <c r="M34">
        <v>37.568592071533203</v>
      </c>
      <c r="N34">
        <v>14.8529968261718</v>
      </c>
      <c r="O34">
        <v>-1.5</v>
      </c>
      <c r="P34">
        <v>0.99564405724953398</v>
      </c>
      <c r="Q34">
        <v>6.77</v>
      </c>
      <c r="R34">
        <v>2.1249999999999298</v>
      </c>
      <c r="S34">
        <v>46.4375</v>
      </c>
      <c r="T34">
        <v>1089.42</v>
      </c>
      <c r="U34">
        <v>0.11</v>
      </c>
      <c r="V34">
        <v>753.24099999999999</v>
      </c>
      <c r="W34">
        <v>0.08</v>
      </c>
      <c r="X34">
        <v>1.0170672703328301E-2</v>
      </c>
      <c r="Y34">
        <v>9.1552156781335298E-2</v>
      </c>
      <c r="Z34">
        <v>5.4927130866644802E-2</v>
      </c>
      <c r="AA34">
        <v>1.3056319654434301</v>
      </c>
      <c r="AB34">
        <v>0</v>
      </c>
      <c r="AC34" t="s">
        <v>156</v>
      </c>
      <c r="AD34">
        <v>1</v>
      </c>
      <c r="AE34">
        <v>0</v>
      </c>
      <c r="AF34">
        <v>1</v>
      </c>
      <c r="AG34">
        <v>0</v>
      </c>
      <c r="AH34">
        <v>1</v>
      </c>
      <c r="AI34">
        <v>1</v>
      </c>
      <c r="AJ34">
        <v>1</v>
      </c>
      <c r="AK34">
        <v>6</v>
      </c>
      <c r="AT34">
        <v>0.5</v>
      </c>
      <c r="AU34">
        <v>0.1</v>
      </c>
      <c r="BA34">
        <v>30</v>
      </c>
      <c r="BJ34">
        <v>0.1</v>
      </c>
      <c r="BL34">
        <v>1.5</v>
      </c>
      <c r="BO34">
        <v>0.5</v>
      </c>
      <c r="BP34">
        <v>0.2</v>
      </c>
      <c r="CG34">
        <f>SUM(AP34+AQ34+AR34+AX34+AY34+BA34+BB34+BJ34+CB34)</f>
        <v>30.1</v>
      </c>
      <c r="CH34">
        <f t="shared" si="2"/>
        <v>2.8000000000000003</v>
      </c>
      <c r="CI34">
        <v>0</v>
      </c>
      <c r="CJ34">
        <v>20</v>
      </c>
      <c r="CK34">
        <v>8</v>
      </c>
      <c r="CR34">
        <f t="shared" si="1"/>
        <v>8</v>
      </c>
      <c r="CS34">
        <v>45</v>
      </c>
      <c r="CT34">
        <v>0</v>
      </c>
    </row>
    <row r="35" spans="1:98" x14ac:dyDescent="0.35">
      <c r="A35" t="s">
        <v>116</v>
      </c>
      <c r="B35" t="s">
        <v>110</v>
      </c>
      <c r="C35">
        <v>4</v>
      </c>
      <c r="D35" t="s">
        <v>88</v>
      </c>
      <c r="E35">
        <v>3</v>
      </c>
      <c r="F35" t="str">
        <f t="shared" si="0"/>
        <v>4-C</v>
      </c>
      <c r="G35">
        <v>3</v>
      </c>
      <c r="H35" s="2">
        <v>44797</v>
      </c>
      <c r="I35">
        <v>32.986800000000002</v>
      </c>
      <c r="J35">
        <v>78.426910000000007</v>
      </c>
      <c r="K35">
        <v>5821</v>
      </c>
      <c r="L35">
        <v>980</v>
      </c>
      <c r="M35">
        <v>90</v>
      </c>
      <c r="N35">
        <v>6.9146084785461399</v>
      </c>
      <c r="O35">
        <v>-0.25</v>
      </c>
      <c r="P35">
        <v>0.99241274658573597</v>
      </c>
      <c r="Q35">
        <v>6.49</v>
      </c>
      <c r="R35">
        <v>1.9113149847095099</v>
      </c>
      <c r="S35">
        <v>31.269113149847001</v>
      </c>
      <c r="T35">
        <v>968.85</v>
      </c>
      <c r="U35">
        <v>0.1</v>
      </c>
      <c r="V35">
        <v>790.95699999999999</v>
      </c>
      <c r="W35">
        <v>0.08</v>
      </c>
      <c r="X35">
        <v>1.0333914735138901E-2</v>
      </c>
      <c r="Y35">
        <v>7.21973993314214E-2</v>
      </c>
      <c r="Z35">
        <v>6.9861317666714606E-2</v>
      </c>
      <c r="AA35">
        <v>0.98017553585905604</v>
      </c>
      <c r="AB35">
        <v>0</v>
      </c>
      <c r="AC35" t="s">
        <v>157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7</v>
      </c>
      <c r="AT35">
        <v>0.2</v>
      </c>
      <c r="AU35">
        <v>0.1</v>
      </c>
      <c r="BI35">
        <v>1.5</v>
      </c>
      <c r="BJ35">
        <v>30</v>
      </c>
      <c r="BQ35">
        <v>0.5</v>
      </c>
      <c r="BR35">
        <v>2</v>
      </c>
      <c r="BX35">
        <v>2</v>
      </c>
      <c r="CD35">
        <v>10</v>
      </c>
      <c r="CF35">
        <v>20</v>
      </c>
      <c r="CG35">
        <f>SUM(AP35+AQ35+AR35+AX35+AY35+BA35+BB35+BJ35+CB35)</f>
        <v>30</v>
      </c>
      <c r="CH35">
        <f t="shared" si="2"/>
        <v>36.299999999999997</v>
      </c>
      <c r="CI35">
        <v>5</v>
      </c>
      <c r="CJ35">
        <v>10</v>
      </c>
      <c r="CK35">
        <v>8</v>
      </c>
      <c r="CR35">
        <f t="shared" si="1"/>
        <v>8</v>
      </c>
      <c r="CS35">
        <v>10</v>
      </c>
      <c r="CT35">
        <f>100-(CS35+CR35+CJ35+CI35+CH35+CG35)</f>
        <v>0.70000000000000284</v>
      </c>
    </row>
    <row r="36" spans="1:98" x14ac:dyDescent="0.35">
      <c r="A36" t="s">
        <v>117</v>
      </c>
      <c r="B36" t="s">
        <v>110</v>
      </c>
      <c r="C36">
        <v>4</v>
      </c>
      <c r="D36" t="s">
        <v>88</v>
      </c>
      <c r="E36">
        <v>3</v>
      </c>
      <c r="F36" t="str">
        <f t="shared" si="0"/>
        <v>4-C</v>
      </c>
      <c r="G36">
        <v>3</v>
      </c>
      <c r="H36" s="2">
        <v>44797</v>
      </c>
      <c r="I36">
        <v>32.988300000000002</v>
      </c>
      <c r="J36">
        <v>78.42398</v>
      </c>
      <c r="K36">
        <v>5839</v>
      </c>
      <c r="L36">
        <v>1300</v>
      </c>
      <c r="M36">
        <v>291.80139160156199</v>
      </c>
      <c r="N36">
        <v>2.4929683208465501</v>
      </c>
      <c r="O36">
        <v>-0.875</v>
      </c>
      <c r="P36">
        <v>0.99017681728880103</v>
      </c>
      <c r="Q36">
        <v>6.58</v>
      </c>
      <c r="R36">
        <v>1.9841269841270599</v>
      </c>
      <c r="S36">
        <v>37.037037037037102</v>
      </c>
      <c r="T36">
        <v>1881.6859999999999</v>
      </c>
      <c r="U36">
        <v>0.19</v>
      </c>
      <c r="V36">
        <v>673.67700000000002</v>
      </c>
      <c r="W36">
        <v>7.0000000000000007E-2</v>
      </c>
      <c r="X36">
        <v>1.386779739907E-2</v>
      </c>
      <c r="Y36">
        <v>0.12376662641787201</v>
      </c>
      <c r="Z36">
        <v>6.7951019391306197E-2</v>
      </c>
      <c r="AA36">
        <v>1.8714165368692</v>
      </c>
      <c r="AB36">
        <v>0</v>
      </c>
      <c r="AC36" t="s">
        <v>158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7</v>
      </c>
      <c r="AU36">
        <v>0.5</v>
      </c>
      <c r="BJ36">
        <v>5</v>
      </c>
      <c r="BP36">
        <v>7</v>
      </c>
      <c r="BR36">
        <v>2</v>
      </c>
      <c r="BS36">
        <v>0.1</v>
      </c>
      <c r="BX36">
        <v>1.5</v>
      </c>
      <c r="CD36">
        <v>35</v>
      </c>
      <c r="CG36">
        <f>SUM(AP36+AQ36+AR36+AX36+AY36+BA36+BB36+BJ36+CB36)</f>
        <v>5</v>
      </c>
      <c r="CH36">
        <f t="shared" si="2"/>
        <v>46.1</v>
      </c>
      <c r="CI36">
        <v>2.5</v>
      </c>
      <c r="CJ36">
        <v>10</v>
      </c>
      <c r="CK36">
        <v>5</v>
      </c>
      <c r="CR36">
        <f t="shared" si="1"/>
        <v>5</v>
      </c>
      <c r="CS36">
        <v>25</v>
      </c>
      <c r="CT36">
        <f>100-(CS36+CR36+CJ36+CI36+CH36+CG36)</f>
        <v>6.4000000000000057</v>
      </c>
    </row>
    <row r="37" spans="1:98" x14ac:dyDescent="0.35">
      <c r="A37" t="s">
        <v>118</v>
      </c>
      <c r="B37" t="s">
        <v>110</v>
      </c>
      <c r="C37">
        <v>4</v>
      </c>
      <c r="D37" t="s">
        <v>88</v>
      </c>
      <c r="E37">
        <v>3</v>
      </c>
      <c r="F37" t="str">
        <f t="shared" si="0"/>
        <v>4-C</v>
      </c>
      <c r="G37">
        <v>3</v>
      </c>
      <c r="H37" s="2">
        <v>44797</v>
      </c>
      <c r="I37">
        <v>32.989400000000003</v>
      </c>
      <c r="J37">
        <v>78.422139999999899</v>
      </c>
      <c r="K37">
        <v>5785</v>
      </c>
      <c r="L37">
        <v>1509</v>
      </c>
      <c r="M37">
        <v>313.72698974609301</v>
      </c>
      <c r="N37">
        <v>14.430308341979901</v>
      </c>
      <c r="O37">
        <v>-2.375</v>
      </c>
      <c r="P37">
        <v>0.99118046132971405</v>
      </c>
      <c r="Q37">
        <v>6.86</v>
      </c>
      <c r="R37">
        <v>1.0266940451745801</v>
      </c>
      <c r="S37">
        <v>45.585215605749603</v>
      </c>
      <c r="T37">
        <v>874.49099999999999</v>
      </c>
      <c r="U37">
        <v>0.09</v>
      </c>
      <c r="V37">
        <v>610.80399999999997</v>
      </c>
      <c r="W37">
        <v>0.06</v>
      </c>
      <c r="X37">
        <v>1.02791979627932E-2</v>
      </c>
      <c r="Y37">
        <v>9.1988926227276099E-2</v>
      </c>
      <c r="Z37">
        <v>7.4536521647450699E-2</v>
      </c>
      <c r="AA37">
        <v>1.2113836293924101</v>
      </c>
      <c r="AB37">
        <v>0</v>
      </c>
      <c r="AC37" t="s">
        <v>159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7</v>
      </c>
      <c r="AU37">
        <v>0.1</v>
      </c>
      <c r="BJ37">
        <v>3</v>
      </c>
      <c r="BO37">
        <v>4</v>
      </c>
      <c r="BX37">
        <v>0.5</v>
      </c>
      <c r="CD37">
        <v>25</v>
      </c>
      <c r="CF37">
        <v>15</v>
      </c>
      <c r="CG37">
        <f>SUM(AP37+AQ37+AR37+AX37+AY37+BA37+BB37+BJ37+CB37)</f>
        <v>3</v>
      </c>
      <c r="CH37">
        <f t="shared" si="2"/>
        <v>44.6</v>
      </c>
      <c r="CI37">
        <v>1</v>
      </c>
      <c r="CJ37">
        <v>6</v>
      </c>
      <c r="CK37">
        <v>3</v>
      </c>
      <c r="CR37">
        <f t="shared" si="1"/>
        <v>3</v>
      </c>
      <c r="CS37">
        <v>40</v>
      </c>
      <c r="CT37">
        <f>100-(CS37+CR37+CJ37+CI37+CH37+CG37)</f>
        <v>2.4000000000000057</v>
      </c>
    </row>
  </sheetData>
  <pageMargins left="0.7" right="0.7" top="0.75" bottom="0.75" header="0.3" footer="0.3"/>
  <pageSetup paperSize="9" orientation="portrait" horizontalDpi="300" verticalDpi="300"/>
  <ignoredErrors>
    <ignoredError sqref="CH2:CH14 CH15:CH37 CR2 CR17:CR37 CR3:CR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Ruka Adam</cp:lastModifiedBy>
  <dcterms:created xsi:type="dcterms:W3CDTF">2025-02-10T09:41:06Z</dcterms:created>
  <dcterms:modified xsi:type="dcterms:W3CDTF">2025-04-23T08:33:28Z</dcterms:modified>
</cp:coreProperties>
</file>